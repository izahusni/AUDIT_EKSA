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yzach/"/>
    </mc:Choice>
  </mc:AlternateContent>
  <xr:revisionPtr revIDLastSave="0" documentId="13_ncr:1_{175AE7EB-07FE-DB4E-8EDC-BA15DEE524F8}" xr6:coauthVersionLast="47" xr6:coauthVersionMax="47" xr10:uidLastSave="{00000000-0000-0000-0000-000000000000}"/>
  <bookViews>
    <workbookView xWindow="0" yWindow="1880" windowWidth="22800" windowHeight="15240" activeTab="6" xr2:uid="{00000000-000D-0000-FFFF-FFFF00000000}"/>
  </bookViews>
  <sheets>
    <sheet name="KOMPONEN A" sheetId="1" r:id="rId1"/>
    <sheet name="KOMPONEN B" sheetId="2" r:id="rId2"/>
    <sheet name="KOMPONEN C" sheetId="3" r:id="rId3"/>
    <sheet name="KOMPONEN D" sheetId="4" r:id="rId4"/>
    <sheet name="KOMPONEN E" sheetId="7" r:id="rId5"/>
    <sheet name="MARKAH AUDIT" sheetId="6" r:id="rId6"/>
    <sheet name="LAPORAN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d+E448kCDlFfqA1eFStCZKY5dg7JUtbwEnK+d9zQ6s="/>
    </ext>
  </extLst>
</workbook>
</file>

<file path=xl/calcChain.xml><?xml version="1.0" encoding="utf-8"?>
<calcChain xmlns="http://schemas.openxmlformats.org/spreadsheetml/2006/main">
  <c r="D18" i="5" l="1"/>
  <c r="I17" i="5"/>
  <c r="E17" i="5"/>
  <c r="C17" i="5"/>
  <c r="G17" i="5"/>
  <c r="L12" i="6"/>
  <c r="I12" i="6"/>
  <c r="F12" i="6"/>
  <c r="C12" i="6"/>
  <c r="M11" i="6"/>
  <c r="N11" i="6" s="1"/>
  <c r="J11" i="6"/>
  <c r="K11" i="6" s="1"/>
  <c r="G11" i="6"/>
  <c r="H11" i="6" s="1"/>
  <c r="D11" i="6"/>
  <c r="E11" i="6" s="1"/>
  <c r="M10" i="6"/>
  <c r="N10" i="6" s="1"/>
  <c r="J10" i="6"/>
  <c r="K10" i="6" s="1"/>
  <c r="G10" i="6"/>
  <c r="H10" i="6" s="1"/>
  <c r="D10" i="6"/>
  <c r="E10" i="6" s="1"/>
  <c r="M9" i="6"/>
  <c r="N9" i="6" s="1"/>
  <c r="H15" i="5"/>
  <c r="F15" i="5"/>
  <c r="D15" i="5"/>
  <c r="J14" i="5"/>
  <c r="H14" i="5"/>
  <c r="F14" i="5"/>
  <c r="D14" i="5"/>
  <c r="L24" i="4"/>
  <c r="L25" i="4" s="1"/>
  <c r="K24" i="4"/>
  <c r="K25" i="4" s="1"/>
  <c r="J24" i="4"/>
  <c r="J25" i="4" s="1"/>
  <c r="I24" i="4"/>
  <c r="I25" i="4" s="1"/>
  <c r="L23" i="4"/>
  <c r="J15" i="5" s="1"/>
  <c r="K23" i="4"/>
  <c r="J23" i="4"/>
  <c r="I23" i="4"/>
  <c r="I46" i="3"/>
  <c r="L45" i="3"/>
  <c r="L46" i="3" s="1"/>
  <c r="K45" i="3"/>
  <c r="K46" i="3" s="1"/>
  <c r="J45" i="3"/>
  <c r="J46" i="3" s="1"/>
  <c r="I45" i="3"/>
  <c r="L44" i="3"/>
  <c r="K44" i="3"/>
  <c r="J44" i="3"/>
  <c r="I44" i="3"/>
  <c r="L76" i="2"/>
  <c r="L77" i="2" s="1"/>
  <c r="K76" i="2"/>
  <c r="K77" i="2" s="1"/>
  <c r="J76" i="2"/>
  <c r="J77" i="2" s="1"/>
  <c r="I76" i="2"/>
  <c r="I77" i="2" s="1"/>
  <c r="L75" i="2"/>
  <c r="J13" i="5" s="1"/>
  <c r="K75" i="2"/>
  <c r="J75" i="2"/>
  <c r="I75" i="2"/>
  <c r="L26" i="1"/>
  <c r="K26" i="1"/>
  <c r="J26" i="1"/>
  <c r="I26" i="1"/>
  <c r="H13" i="5" l="1"/>
  <c r="J9" i="6"/>
  <c r="K9" i="6" s="1"/>
  <c r="F13" i="5"/>
  <c r="G9" i="6"/>
  <c r="H9" i="6" s="1"/>
  <c r="D13" i="5"/>
  <c r="D9" i="6"/>
  <c r="E9" i="6" s="1"/>
  <c r="G8" i="6"/>
  <c r="F12" i="5"/>
  <c r="J12" i="5"/>
  <c r="J17" i="5" s="1"/>
  <c r="J18" i="5" s="1"/>
  <c r="D8" i="6"/>
  <c r="J8" i="6"/>
  <c r="M8" i="6"/>
  <c r="D12" i="5"/>
  <c r="D17" i="5" s="1"/>
  <c r="H12" i="5"/>
  <c r="F17" i="5" l="1"/>
  <c r="F18" i="5" s="1"/>
  <c r="H8" i="6"/>
  <c r="G12" i="6"/>
  <c r="E8" i="6"/>
  <c r="D12" i="6"/>
  <c r="K8" i="6"/>
  <c r="J12" i="6"/>
  <c r="N8" i="6"/>
  <c r="M12" i="6"/>
  <c r="H17" i="5"/>
  <c r="H12" i="6" l="1"/>
  <c r="G13" i="6"/>
  <c r="H13" i="6"/>
  <c r="C14" i="6"/>
  <c r="E13" i="6"/>
  <c r="E12" i="6"/>
  <c r="D13" i="6"/>
  <c r="K12" i="6"/>
  <c r="J13" i="6"/>
  <c r="K13" i="6"/>
  <c r="N13" i="6"/>
  <c r="N12" i="6"/>
  <c r="M13" i="6"/>
  <c r="H18" i="5"/>
  <c r="C19" i="5"/>
</calcChain>
</file>

<file path=xl/sharedStrings.xml><?xml version="1.0" encoding="utf-8"?>
<sst xmlns="http://schemas.openxmlformats.org/spreadsheetml/2006/main" count="865" uniqueCount="794">
  <si>
    <t>KOMPONEN A</t>
  </si>
  <si>
    <t>MARKAH</t>
  </si>
  <si>
    <t>KEPERLUAN UTAMA PELAKSANAAN</t>
  </si>
  <si>
    <t>ZON EFFEKTIF</t>
  </si>
  <si>
    <t>ZON KOMITED</t>
  </si>
  <si>
    <t>ZON SEPAKAT</t>
  </si>
  <si>
    <t>ZON AKTIF</t>
  </si>
  <si>
    <t>A1) DASAR EKSA</t>
  </si>
  <si>
    <t>Menyediakan panduan atau Standard Operasi Prosedur (SOP) selaras dengan Dasar EKSA agensi</t>
  </si>
  <si>
    <t>Panduan / SOP tidak disediakan</t>
  </si>
  <si>
    <t>Panduan/ SOP disediakan tetapi belum diluluskan oleh pihak pengurusan agensi</t>
  </si>
  <si>
    <t>Panduan/ SOP disediakan dan diedarkan kepada sebahagian warga agensi yang terlibat secara langsung dalam pelaksanaan EKSA</t>
  </si>
  <si>
    <t>Panduan/ SOP diluluskan oleh pihak pengurusan dan telah diedarkan kepada semua unit terlibat</t>
  </si>
  <si>
    <t>Panduan/ SOP diluluskan, disebarkan kepada semua warga agensi, dan dijadikan rujukan utama dalam pelaksanaan EKSA secara menyeluruh</t>
  </si>
  <si>
    <t>Menyebar Dasar dan Panduan/ SOP EKSA serta memastikan semua warga kerja memahaminya</t>
  </si>
  <si>
    <t>Dasar dan Panduan/ SOP EKSA tidak disebarkan</t>
  </si>
  <si>
    <t>Dasar dan Panduan/ SOP EKSA hanya disebarkan kepada sebahagian warga agensi</t>
  </si>
  <si>
    <t>Dasar dan Panduan/ SOP EKSA disebarkan dan difahami oleh sebahagian warga agensi</t>
  </si>
  <si>
    <t>Dasar dan Panduan/ SOP EKSA disebarkan dan difahami oleh warga agensi</t>
  </si>
  <si>
    <t>Dasar dan Panduan/ SOP EKSA disebarkan dan difahami oleh semua warga agensi serta dijadikan rujukan dalam amalan harian</t>
  </si>
  <si>
    <t>Memastikan EKSA Diamalkan dan Dipatuhi</t>
  </si>
  <si>
    <t>EKSA tidak diamalkan dan dipatuhi oleh warga agensi</t>
  </si>
  <si>
    <t>EKSA hanya diamalkan dan dipatuhi oleh sebahagian warga agensi</t>
  </si>
  <si>
    <t>EKSA diamalkan dan dipatuhi oleh warga agensi dalam aktiviti tertentu sahaja</t>
  </si>
  <si>
    <t>EKSA diamalkan dan dipatuhi oleh semua warga agensi dalam aktiviti berkala</t>
  </si>
  <si>
    <t>EKSA diamalkan dan dipatuhi secara konsisten oleh semua warga agensi serta menjadi budaya kerja</t>
  </si>
  <si>
    <t>Dokumentasi EKSA Sentiasa Dikemas Kini</t>
  </si>
  <si>
    <t>Semua dokumentasi tidak teratur dan tidak dikemas kini</t>
  </si>
  <si>
    <t>Sebahagian dokumentasi disusun tetapi tidak dikemas kini secara berkala</t>
  </si>
  <si>
    <t>Sebahagian dokumentasi teratur dan dikemas kini secara tidak konsisten</t>
  </si>
  <si>
    <t>Semua dokumentasi teratur dan dikemas kini secara berkala</t>
  </si>
  <si>
    <t>Semua dokumentasi teratur, dikemas kini secara berkala, dan disimpan dalam sistem rujukan rasmi agensi</t>
  </si>
  <si>
    <t>Mewujudkan keseragaman pelaksanaan EKSA seperti kelatan agensi/garis panduan yang digunakan oleh agensi</t>
  </si>
  <si>
    <t xml:space="preserve">Tiada keseragaman
</t>
  </si>
  <si>
    <t>Keseragaman hanya dilaksanakan di sebahagian unit/zon</t>
  </si>
  <si>
    <t>Keseragaman dilaksanakan di kebanyakan unit/zon</t>
  </si>
  <si>
    <t>Keseragaman dilaksanakan di seluruh unit/zon agensi</t>
  </si>
  <si>
    <t>Keseragaman dilaksanakan di seluruh agensi dan diperkukuh dengan elemen kreatif dan inovatif</t>
  </si>
  <si>
    <t xml:space="preserve"> Menyediakan dan memaparkan sudut EKSA di tempat yang strategik (secara digital atau fizikal) dan mengandungi perkara seperti berikut:
- Dasar EKSA agensi
- Carta organisasi
- Gambar aktiviti sebelum dan selepas
- Pelan lantai
- Carta perbelanjaan semasa
- Informasi hebahan
- Tarikh kemas kini sudut EKSA</t>
  </si>
  <si>
    <t>Sudut EKSA tidak disediakan</t>
  </si>
  <si>
    <t>Sudut EKSA disediakan tetapi hanya mengandungi dua perkara seperti dicadangkan</t>
  </si>
  <si>
    <t>Sudut EKSA disediakan tetapi hanya mengandungi tiga hingga empat perkara seperti dicadangkan</t>
  </si>
  <si>
    <t>Sudut EKSA mengandungi semua perkara seperti dicadangkan</t>
  </si>
  <si>
    <t>Sudut EKSA mengandungi semua perkara seperti dicadangkan serta dipaparkan secara kreatif dan inovatif</t>
  </si>
  <si>
    <t>Memastikan maklumat dan bahan yang dipaparkan sentiasa dikemas kini dan dalam keadaan baik</t>
  </si>
  <si>
    <t xml:space="preserve">Sudut EKSA tidak disediakan
</t>
  </si>
  <si>
    <t xml:space="preserve">Sudut EKSA disediakan tetapi tidak lengkap dan tidak dikemas kini
</t>
  </si>
  <si>
    <t xml:space="preserve">Sudut EKSA disediakan dengan sebahagian elemen dan dikemas kini secara tidak konsisten
</t>
  </si>
  <si>
    <t xml:space="preserve">Sudut EKSA disediakan dengan semua elemen dan dikemas kini secara berkala
</t>
  </si>
  <si>
    <t>Sudut EKSA disediakan dengan semua elemen, dikemas kini secara berkala, dan dipaparkan secara kreatif dan inovatif</t>
  </si>
  <si>
    <t>A2) JAWATANKUASA PELAKSANA EKSA</t>
  </si>
  <si>
    <t>Menubuh dan dan melantik Jawatankuasa Pelaksana EKSA yang merangkumi jawatan berikut: 
- Latihan
- Promosi
- Audit</t>
  </si>
  <si>
    <t>Jawatankuasa belum dibentuk dan dilanti</t>
  </si>
  <si>
    <t xml:space="preserve">Jawatankuasa telah dibentuk dan dilantik tetapi hanya melibatkan satu jawatankuasa sahaja
</t>
  </si>
  <si>
    <t xml:space="preserve">Jawatankuasa telah dibentuk dan dilantik tetapi hanya mempunyai dua jawatankuasa yang disyorkan
</t>
  </si>
  <si>
    <t xml:space="preserve">Jawatankuasa telah dibentuk dan dilantik serta mempunyai tiga jawatankuasa yang disyorkan
</t>
  </si>
  <si>
    <t>Jawatankuasa telah dibentuk dan dilantik serta mempunyai semua jawatankuasa yang disyorkan dan aktif melaksanakan peranan masing-masing</t>
  </si>
  <si>
    <t>Merancang dan melaksanakan program/aktiviti EKSA secara berterusan seperti yang berikut:
- gotong-royong
- kitar semula
- kebersihan
- penambahbaikan
- promosi
- latihan</t>
  </si>
  <si>
    <t xml:space="preserve">Program/aktiviti EKSA belum dirancang dan dilaksanakan
</t>
  </si>
  <si>
    <t xml:space="preserve">Program/aktiviti EKSA dirancang tetapi tidak dilaksanakan
</t>
  </si>
  <si>
    <t xml:space="preserve">Program/aktiviti EKSA dirancang dan dilaksanakan secara tidak berkala
</t>
  </si>
  <si>
    <t xml:space="preserve">Program/aktiviti EKSA dirancang dan dilaksanakan secara berkala
</t>
  </si>
  <si>
    <t>Program/aktiviti EKSA dirancang dan dilaksanakan secara berkala serta dinilai keberkesanannya melalui laporan dan maklum balas warga agensi</t>
  </si>
  <si>
    <t>A3) PENGLIBATAN PENGURUSAN ATASAN</t>
  </si>
  <si>
    <t>Melibatkan pengurusan atasan sebagai peneraju inisiatif EKSA</t>
  </si>
  <si>
    <t xml:space="preserve">Pengurusan atasan tidak terlibat langsung dalam inisiatif EKSA
</t>
  </si>
  <si>
    <t xml:space="preserve">Pengurusan atasan hanya menyokong secara umum tetapi tidak terlibat dalam perancangan atau pelaksanaan
</t>
  </si>
  <si>
    <t xml:space="preserve">Mempunyai program kesedaran/pendedahan kepada pengurusan atasan tentang inisiatif EKSA
</t>
  </si>
  <si>
    <t xml:space="preserve">Mempunyai program kesedaran/pendedahan dan pengurusan atasan terlibat dalam aktiviti EKSA secara berkala
</t>
  </si>
  <si>
    <t>Pengurusan atasan bertindak sebagai peneraju rasmi inisiatif EKSA dan menjadi contoh kepada warga agensi</t>
  </si>
  <si>
    <t>Melibatkan pengurusan atasan dalam aktiviti EKSA seperti gotong-royong, audit dan sebagainya</t>
  </si>
  <si>
    <t xml:space="preserve">Pengurusan atasan tidak terlibat langsung dalam aktiviti EKSA
</t>
  </si>
  <si>
    <t xml:space="preserve">Pengurusan atasan hanya hadir secara simbolik tanpa penglibatan aktif
</t>
  </si>
  <si>
    <t xml:space="preserve">Mempunyai program kesedaran/pendedahan terhadap aktiviti EKSA tetapi pengurusan atasan tidak terlibat
</t>
  </si>
  <si>
    <t xml:space="preserve">Mempunyai program kesedaran/pendedahan dan pengurusan atasan terlibat dalam sebahagian aktiviti EKSA
</t>
  </si>
  <si>
    <t>Pengurusan atasan aktif menyertai dan memimpin aktiviti EKSA secara konsiste</t>
  </si>
  <si>
    <t>Penglibatan pengurusan atasan dalam aktiviti EKSA bersama masyarakat persekitaran</t>
  </si>
  <si>
    <t xml:space="preserve">Tiada aktiviti EKSA dijalankan bersama masyarakat persekitaran
</t>
  </si>
  <si>
    <t xml:space="preserve">Aktiviti EKSA dijalankan bersama masyarakat tetapi tanpa penglibatan pengurusan atasan
</t>
  </si>
  <si>
    <t xml:space="preserve">Sebahagian aktiviti EKSA dijalankan bersama masyarakat dengan penglibatan pengurusan atasan
</t>
  </si>
  <si>
    <t xml:space="preserve">Sebahagian besar aktiviti EKSA dijalankan bersama masyarakat dengan penglibatan aktif pengurusan atasan
</t>
  </si>
  <si>
    <t>Pengurusan atasan aktif memimpin aktiviti EKSA bersama masyarakat dan menjadi duta kepada inisiatif tersebut</t>
  </si>
  <si>
    <t>A4) PEMBUDAYAAN KREATIVITI DAN INOVASI</t>
  </si>
  <si>
    <t>Melaksanakan inovasi/amalan baik (best practice) yang boleh meningkatkan produktiviti dan kualiti kerja warga</t>
  </si>
  <si>
    <t xml:space="preserve">Inovasi/amalan baik (best practice) tidak dilaksanakan
</t>
  </si>
  <si>
    <t xml:space="preserve">Inovasi/amalan baik (best practice) dirancang tetapi tidak dilaksanakan
</t>
  </si>
  <si>
    <t xml:space="preserve">Inovasi/amalan baik (best practice) hanya dilaksanakan sekali sahaja tanpa sebarang penambahbaikan
</t>
  </si>
  <si>
    <t xml:space="preserve">novasi/amalan baik (best practice) dilaksanakan secara berkala (sekali atau dua kali setahun)
</t>
  </si>
  <si>
    <t>Inovasi/amalan baik (best practice) dilaksanakan secara berkala bagi menambahbaik sistem kerja warga dan disebarkan sebagai contoh amalan terbaik</t>
  </si>
  <si>
    <t>Melaksanakan program kreativiti dan inovasi seperti contoh berikut:
- Kreativiti menggunakan barangan terpakai
- Mengubah suai bahan terpakai untuk hiasan
- Mengubah suai peralatan bagi kegunaan EKSA</t>
  </si>
  <si>
    <t xml:space="preserve">Program kreativiti dan inovasi tidak dilaksanakan
</t>
  </si>
  <si>
    <t xml:space="preserve">Program kreativiti dan inovasi dirancang tetapi tidak dilaksanakan
</t>
  </si>
  <si>
    <t xml:space="preserve">Program kreativiti dan inovasi hanya dilaksanakan sekali sahaja tanpa penyertaan warga agensi
</t>
  </si>
  <si>
    <t xml:space="preserve">Program kreativiti dan inovasi dilaksanakan tiga kali setahun dengan penyertaan terhad
</t>
  </si>
  <si>
    <t>Program kreativiti dan inovasi dilaksanakan secara konsisten dengan penyertaan aktif warga agensi dan impak positif terhadap persekitaran kerja</t>
  </si>
  <si>
    <t>A5) TINDAKAN PENJIMATAN/ GO GREEN</t>
  </si>
  <si>
    <t>Melaksanakan program penjimatan tenaga/sumber secara menyeluruh seperti contoh berikut:
- Notis/arahan penjimatan tenaga
- Penggunaan lampu/peralatan jimat tenaga
- Penetapan suhu optimum
- Penjimatan kertas
- Penjimatan air
- Kempen hijau</t>
  </si>
  <si>
    <t xml:space="preserve">Tidak melaksanakan sebarang program penjimatan tenaga/sumber
</t>
  </si>
  <si>
    <t xml:space="preserve">Program penjimatan tenaga/sumber dirancang tetapi tidak dilaksanakan
</t>
  </si>
  <si>
    <t xml:space="preserve">Program penjimatan tenaga/sumber dilaksanakan tetapi tidak melebihi 50% daripada cadangan
</t>
  </si>
  <si>
    <t xml:space="preserve">Program penjimatan tenaga/sumber dilaksanakan melebihi 50% daripada cadangan
</t>
  </si>
  <si>
    <t>Melaksanakan sekurang-kurangnya tiga program penjimatan tenaga/sumber secara aktif dan berterusan</t>
  </si>
  <si>
    <t xml:space="preserve"> Melaksanakan program/usaha kitar semula peringkat agensi</t>
  </si>
  <si>
    <t xml:space="preserve">Tiada program/usaha kitar semula dilaksanakan
</t>
  </si>
  <si>
    <t xml:space="preserve">Aktiviti kitar semula dirancang tetapi tidak dilaksanakan
</t>
  </si>
  <si>
    <t xml:space="preserve">Aktiviti kitar semula dilaksanakan secara ad hoc tanpa sistem sokongan
</t>
  </si>
  <si>
    <t xml:space="preserve">Aktiviti kitar semula dilaksanakan secara berkala dengan penyertaan sebahagian warga agensi
</t>
  </si>
  <si>
    <t>Program/usaha kitar semula dilaksanakan secara sistematik dan disertai oleh semua warga agensi serta dipantau keberkesanannya</t>
  </si>
  <si>
    <t>JUMLAH</t>
  </si>
  <si>
    <t>KOMPONEN B</t>
  </si>
  <si>
    <t>CATATAN</t>
  </si>
  <si>
    <t>RUANG TEMPAT KERJA/ PEJABAT</t>
  </si>
  <si>
    <t>FIZIKAL</t>
  </si>
  <si>
    <t>B1) LANTAI</t>
  </si>
  <si>
    <t>Memastikan lantai memenuhi kriteria yang berikut:
- Selamat dan tidak licin
- Tiada kekotoran/ sampah di lantai
- Tidak berlubang/ pecah atau rosak
- Tong sampah disediakan</t>
  </si>
  <si>
    <t xml:space="preserve">Lantai tidak bersih dan tidak memenuhi sebarang kriteria
</t>
  </si>
  <si>
    <t xml:space="preserve">Lantai bersih tetapi terdapat kerosakan atau tompokan air; tong sampah tidak disediakan
</t>
  </si>
  <si>
    <t xml:space="preserve">Lantai bersih dan tidak licin tetapi hanya memenuhi sebahagian kriteria
</t>
  </si>
  <si>
    <t xml:space="preserve">Lantai bersih, tidak licin, tiada tompokan air dan tong sampah disediakan di kebanyakan kawasan
</t>
  </si>
  <si>
    <t>Lantai bersih, tidak licin, tiada tompokan air dan tong sampah disediakan di semua kawasan serta diselenggara secara berkala</t>
  </si>
  <si>
    <t>Menyediakan program pemantauan dan memastikan jadual pembersihan dipatuhi</t>
  </si>
  <si>
    <t xml:space="preserve">Tiada program pembersihan lantai dilaksanakan
</t>
  </si>
  <si>
    <t xml:space="preserve">Program pembersihan lantai dirancang tetapi tidak dilaksanakan
</t>
  </si>
  <si>
    <t xml:space="preserve">Program pembersihan lantai dilaksanakan secara ad hoc tanpa jadual tetap
</t>
  </si>
  <si>
    <t xml:space="preserve">Program pembersihan lantai dilaksanakan secara berkala dengan pemantauan asas
</t>
  </si>
  <si>
    <t>Program pembersihan lantai dilaksanakan secara berkala, dipantau dan direkodkan dalam sistem dokumentasi agensi</t>
  </si>
  <si>
    <t>B2) DINDING DAN SILING</t>
  </si>
  <si>
    <t>Memastikan dinding dan siling bersih daripada kekotoran dan dalam keadaan baik</t>
  </si>
  <si>
    <t xml:space="preserve">Terdapat kerosakan dan kekotoran yang ketara pada dinding dan siling
</t>
  </si>
  <si>
    <t xml:space="preserve">Dinding dan siling dalam keadaan sederhana; terdapat kekotoran atau kerosakan kecil
</t>
  </si>
  <si>
    <t xml:space="preserve">Dinding dan siling bersih tetapi terdapat sedikit kerosakan kosmetik
</t>
  </si>
  <si>
    <t xml:space="preserve">Dinding dan siling bersih dan dalam keadaan baik di kebanyakan kawasan
</t>
  </si>
  <si>
    <t>Dinding dan siling bersih, dalam keadaan baik tanpa sebarang kerosakan serta diselenggara secara berkala</t>
  </si>
  <si>
    <t>Menyediakan hiasan yang bersesuaian dan selaras dengan imej korporat</t>
  </si>
  <si>
    <t>Tiada hiasan disediakan atau hiasan tidak langsung mencerminkan imej korporat</t>
  </si>
  <si>
    <t>Hiasan disediakan tetapi tidak konsisten dengan identiti visual atau tema korporat</t>
  </si>
  <si>
    <t>Hiasan disediakan dan mencerminkan sebahagian elemen imej korporat (warna, logo, slogan)</t>
  </si>
  <si>
    <t>Hiasan disediakan secara menyeluruh dan selaras dengan imej korporat di kebanyakan ruang</t>
  </si>
  <si>
    <t>Hiasan disediakan secara menyeluruh, konsisten, dan memperkukuh imej korporat di semua ruang serta menarik perhatian secara profesional dan kreatif</t>
  </si>
  <si>
    <t>B3) LAMPU DAN SOKET</t>
  </si>
  <si>
    <t>Memastikan semua lampu bersih, berfungsi dan dalam keadaan baik</t>
  </si>
  <si>
    <t xml:space="preserve">Kebanyakan lampu tidak berfungsi dan terdapat lampu rosak
</t>
  </si>
  <si>
    <t xml:space="preserve">Sebahagian besar lampu tidak berfungsi, ada lampu yang rosak dan tidak dibersihkan
</t>
  </si>
  <si>
    <t xml:space="preserve">Kebanyakan lampu berfungsi tetapi tidak bersih dan ada lampu yang rosak
</t>
  </si>
  <si>
    <t xml:space="preserve">Semua lampu berfungsi tetapi tidak bersih sepenuhnya atau ada kekotoran ringan
</t>
  </si>
  <si>
    <t>Semua lampu bersih, berfungsi dan dalam keadaan baik serta diselenggara secara berkala</t>
  </si>
  <si>
    <t>Memastikan soket elektrik berfungsi dan dalam keadaan baik</t>
  </si>
  <si>
    <t xml:space="preserve">Kebanyakan soket elektrik tidak berfungsi dan berisiko keselamatan
</t>
  </si>
  <si>
    <t xml:space="preserve">Sebahagian besar soket elektrik tidak berfungsi atau dalam keadaan tidak selamat
</t>
  </si>
  <si>
    <t xml:space="preserve">Kebanyakan soket elektrik berfungsi tetapi dalam keadaan kurang baik atau tidak bersih
</t>
  </si>
  <si>
    <t xml:space="preserve">Semua soket elektrik berfungsi tetapi tidak bersih sepenuhnya atau tidak diselenggara
</t>
  </si>
  <si>
    <t>Semua soket elektrik berfungsi, bersih dan dalam keadaan baik serta diselenggara secara berkala</t>
  </si>
  <si>
    <t>B4)SUSUN ATUR PERALATAN</t>
  </si>
  <si>
    <t>Menyemak/menyusun susunan laci meja/kabinet boleh gerak (mobile pedestal)</t>
  </si>
  <si>
    <t xml:space="preserve">Susunan pedestal tidak seragam dan tidak mengikut fungsi penggunaan
</t>
  </si>
  <si>
    <t xml:space="preserve">Susunan pedestal tidak mengikut SOP EKSA (tiada penanda lantai, pengecaman visual, atau keseimbangan ruang)
</t>
  </si>
  <si>
    <t xml:space="preserve">Pedestal disusun mengikut sebahagian kriteria EKSA yang disyorkan
</t>
  </si>
  <si>
    <t xml:space="preserve">Pedestal disusun mengikut semua kriteria EKSA yang disyorkan dan digunakan secara konsisten
</t>
  </si>
  <si>
    <t>Pedestal disusun mengikut semua kriteria EKSA, diselenggara secara berkala dan dimanfaatkan secara optimum</t>
  </si>
  <si>
    <t>Memastikan peralatan kerja di atas meja/kabinet dalam keadaan teratur dan kemas</t>
  </si>
  <si>
    <t xml:space="preserve">Peralatan tidak disusun, tidak teratur dan tidak kemas langsung
</t>
  </si>
  <si>
    <t xml:space="preserve">Peralatan disusun tetapi terdapat barangan berlebihan, tidak relevan dengan tugas atau hiasan keterlaluan
</t>
  </si>
  <si>
    <t xml:space="preserve">Peralatan disusun memenuhi sebahagian kriteria EKSA (komputer, dulang masuk/keluar, folder, hiasan minimum)
</t>
  </si>
  <si>
    <t xml:space="preserve">Peralatan disusun memenuhi semua kriteria EKSA secara kekal dan konsisten
</t>
  </si>
  <si>
    <t>Peralatan disusun memenuhi semua kriteria EKSA, diselenggara secara berkala dan dimanfaatkan secara optimum</t>
  </si>
  <si>
    <t>B5)KEADAAN PERALATAN</t>
  </si>
  <si>
    <t>Menyusun alat tulis dengan kemas dan teratur di atas meja/tulutang kerja</t>
  </si>
  <si>
    <t xml:space="preserve">Alat tulis tidak disusun langsung dan berselerak
</t>
  </si>
  <si>
    <t xml:space="preserve">Sebahagian alat tulis tidak disusun dengan kemas dan teratur
</t>
  </si>
  <si>
    <t xml:space="preserve">Sebahagian alat tulis disusun dengan kemas dan teratur
</t>
  </si>
  <si>
    <t xml:space="preserve">Semua alat tulis disusun dengan kemas dan teratur
</t>
  </si>
  <si>
    <t>Semua alat tulis disusun dengan kemas, teratur dan mengikut kategori/fungsi penggunaan</t>
  </si>
  <si>
    <t>Memastikan semua peralatan dalam keadaan baik dan boleh digunakan</t>
  </si>
  <si>
    <t xml:space="preserve">Semua peralatan tidak dalam keadaan baik dan tidak boleh digunakan
</t>
  </si>
  <si>
    <t xml:space="preserve">Sebahagian peralatan tidak dalam keadaan baik dan tidak boleh digunakan
</t>
  </si>
  <si>
    <t xml:space="preserve">Sebahagian peralatan dalam keadaan baik dan boleh digunakan
</t>
  </si>
  <si>
    <t xml:space="preserve">Semua peralatan dalam keadaan baik dan boleh digunakan
</t>
  </si>
  <si>
    <t>Semua peralatan dalam keadaan baik, boleh digunakan dan disusun dengan kemas serta dipantau secara berkala</t>
  </si>
  <si>
    <t>Menyusun semua barang keperluan dengan kemas dan teratur</t>
  </si>
  <si>
    <t xml:space="preserve">Tiada barang keperluan disusun
</t>
  </si>
  <si>
    <t xml:space="preserve">Barang keperluan disusun tetapi tidak kemas dan tidak teratur
</t>
  </si>
  <si>
    <t xml:space="preserve">Sebahagian barang keperluan disusun dengan kemas dan teratur
</t>
  </si>
  <si>
    <t xml:space="preserve">Semua barang keperluan disusun dengan kemas dan teratur
</t>
  </si>
  <si>
    <t>Semua barang keperluan disusun dengan kemas, teratur dan mengikut kategori/ fungsi</t>
  </si>
  <si>
    <t>Memperkenal tatacara penggunaan peralatan kepada pengguna</t>
  </si>
  <si>
    <t xml:space="preserve">Tiada tatacara penggunaan diperkenalkan
</t>
  </si>
  <si>
    <t xml:space="preserve">Sebahagian peralatan tiada tatacara penggunaan diperkenalkan
</t>
  </si>
  <si>
    <t xml:space="preserve">Sebahagian peralatan mempunyai tatacara penggunaan diperkenalkan
</t>
  </si>
  <si>
    <t xml:space="preserve">Semua peralatan mempunyai tatacara penggunaan diperkenalkan
</t>
  </si>
  <si>
    <t>Tatacara penggunaan diperkenalkan dan dipamerkan secara jelas untuk rujukan pengguna</t>
  </si>
  <si>
    <t>Memastikan peralatan diselenggara mengikut jadual</t>
  </si>
  <si>
    <t xml:space="preserve">Tiada jadual penyelenggaraan disediakan
</t>
  </si>
  <si>
    <t xml:space="preserve">Jadual penyelenggaraan disediakan tetapi tidak dilaksanakan
</t>
  </si>
  <si>
    <t xml:space="preserve">Jadual penyelenggaraan disediakan tetapi tidak konsisten dilaksanakan
</t>
  </si>
  <si>
    <t xml:space="preserve">Jadual penyelenggaraan disediakan dan dilaksanakan mengikut jadual
</t>
  </si>
  <si>
    <t>Jadual penyelenggaraan disediakan, dilaksanakan mengikut jadual dan direkodkan secara sistematik</t>
  </si>
  <si>
    <t xml:space="preserve"> Memperkenal arahan/notis bagi penggunaan peralatan</t>
  </si>
  <si>
    <t xml:space="preserve">Tiada arahan/notis diperkenalkan
</t>
  </si>
  <si>
    <t xml:space="preserve">Sebahagian peralatan tiada arahan/notis diperkenalkan
</t>
  </si>
  <si>
    <t xml:space="preserve">Sebahagian peralatan mempunyai arahan/notis diperkenalkan
</t>
  </si>
  <si>
    <t xml:space="preserve">Semua peralatan mempunyai arahan/notis diperkenalkan
</t>
  </si>
  <si>
    <t>Arahan/notis diperkenalkan dan dipamerkan secara jelas untuk rujukan pengguna</t>
  </si>
  <si>
    <t>B6) PELABELAN DAN PAPAN TANDA/ TANDA ARAH</t>
  </si>
  <si>
    <t xml:space="preserve"> Menyediakan tanda nama pegawai/kakitangan pada bilik atau ruang kerja/kubikel yang seragam</t>
  </si>
  <si>
    <t xml:space="preserve">Tiada tanda nama pegawai disediakan
</t>
  </si>
  <si>
    <t xml:space="preserve">Sebahagian bilik/kubikel ada tanda nama tetapi tidak seragam
</t>
  </si>
  <si>
    <t xml:space="preserve">Sebahagian bilik/kubikel ada tanda nama yang seragam
</t>
  </si>
  <si>
    <t xml:space="preserve">Semua bilik/kubikel ada tanda nama yang seragam dan mudah dibaca
</t>
  </si>
  <si>
    <t>Semua bilik/kubikel ada tanda nama yang seragam, mudah dibaca dan menunjukkan identiti organisasi secara profesional</t>
  </si>
  <si>
    <t>Menyediakan label yang bersesuaian dan seragam bagi tong kitar semula</t>
  </si>
  <si>
    <t xml:space="preserve">Tiada label langsung pada tong kitar semula
</t>
  </si>
  <si>
    <t xml:space="preserve">Label disediakan tetapi tidak lengkap atau tidak jelas
</t>
  </si>
  <si>
    <t xml:space="preserve">Label lengkap dan jelas tetapi tidak seragam antara tong
</t>
  </si>
  <si>
    <t xml:space="preserve">Label lengkap, jelas dan seragam pada semua tong
</t>
  </si>
  <si>
    <t>Label lengkap, jelas, seragam dan direka bentuk menarik serta mudah difahami oleh semua warga agensi</t>
  </si>
  <si>
    <t>Menggunakan papan tanda/tanda arah yang sesuai dan mudah difahami</t>
  </si>
  <si>
    <t xml:space="preserve">Tiada papan tanda/tanda arah disediakan
</t>
  </si>
  <si>
    <t xml:space="preserve">Papan tanda/tanda arah disediakan tetapi tidak sesuai atau sukar difahami
</t>
  </si>
  <si>
    <t xml:space="preserve">Sebahagian papan tanda/tanda arah sesuai dan mudah difahami
</t>
  </si>
  <si>
    <t xml:space="preserve">Semua papan tanda/tanda arah sesuai dan mudah difahami
</t>
  </si>
  <si>
    <t>Semua papan tanda/tanda arah sesuai, mudah difahami, direka bentuk menarik dan menunjukkan identiti organisasi</t>
  </si>
  <si>
    <t>Meletakkan papan tanda/tanda arah pada lokasi yang strategik dan mudah dilihat</t>
  </si>
  <si>
    <t xml:space="preserve">Tiada papan tanda/tanda arah atau diletakkan di lokasi yang tidak strategik
</t>
  </si>
  <si>
    <t xml:space="preserve">Sebahagian papan tanda/tanda arah diletakkan di lokasi yang kurang sesuai
</t>
  </si>
  <si>
    <t xml:space="preserve">Sebahagian besar papan tanda/tanda arah diletakkan di lokasi strategik dan mudah dilihat
</t>
  </si>
  <si>
    <t xml:space="preserve">Semua papan tanda/tanda arah diletakkan di lokasi strategik dan mudah dilihat
</t>
  </si>
  <si>
    <t>Semua papan tanda/tanda arah diletakkan di lokasi strategik, mudah dilihat dan direka bentuk menarik serta konsisten dengan identiti organisasi</t>
  </si>
  <si>
    <t>B7) RUANG TEMPAT KERJA/ PEJABAT</t>
  </si>
  <si>
    <t>Menyediakan perhiasan yang minimum dan selaras dengan imej korporat</t>
  </si>
  <si>
    <t xml:space="preserve">Hiasan keterlaluan dan tidak selaras dengan imej korporat
</t>
  </si>
  <si>
    <t xml:space="preserve">Hiasan minimum tetapi tidak selaras dengan imej korporat
</t>
  </si>
  <si>
    <t xml:space="preserve">Hiasan minimum dan selaras dengan imej korporat
</t>
  </si>
  <si>
    <t xml:space="preserve">Hiasan dalam keadaan baik, tidak berdebu dan tidak mengganggu fungsi ruang kerja
</t>
  </si>
  <si>
    <t xml:space="preserve">Hiasan dalam keadaan baik, tidak berdebu, disusun dengan kemas dan memperkukuh imej korporat
</t>
  </si>
  <si>
    <t>Memastikan perhiasan yang digunakan tidak berunsur keagamaan dan politik</t>
  </si>
  <si>
    <t xml:space="preserve">Terdapat perhiasan berunsur keagamaan dan politik
</t>
  </si>
  <si>
    <t xml:space="preserve">Sebahagian perhiasan berunsur keagamaan dan politik
</t>
  </si>
  <si>
    <t xml:space="preserve">Sebahagian perhiasan bebas daripada unsur keagamaan dan politik
</t>
  </si>
  <si>
    <t xml:space="preserve">Semua perhiasan bebas daripada unsur keagamaan dan politik
</t>
  </si>
  <si>
    <t>Semua perhiasan bebas daripada unsur keagamaan dan politik serta selaras dengan imej korporat dan prinsip EKSA</t>
  </si>
  <si>
    <t>B8) KEPERLUAN UMUM</t>
  </si>
  <si>
    <t>Menyedia dan memaparkan pelan lantai di bilik/ ruang gunasama yang mudah dilihat</t>
  </si>
  <si>
    <t xml:space="preserve">Pelan lantai tidak disediakan
</t>
  </si>
  <si>
    <t xml:space="preserve">Pelan lantai disediakan tetapi tidak dikemas kini
</t>
  </si>
  <si>
    <t xml:space="preserve">Sebahagian pelan lantai dikemas kini tetapi tidak dipamerkan
</t>
  </si>
  <si>
    <t xml:space="preserve">Semua bilik/ruang mempunyai pelan lantai yang dikemas kini
</t>
  </si>
  <si>
    <t>Semua bilik/ruang mempunyai pelan lantai  yang dikemas kini serta dipamerkan di tempat yang sesuai dan mudah dirujuk</t>
  </si>
  <si>
    <t>ZON SEPAKAT: Sebahagian bilik atau ruang mempunyai pelan lantai yang dikemaskini</t>
  </si>
  <si>
    <t>Memaparkan Senarai Aset Alih Kerajaan (KEW.PA-7) di semua bilik/ ruang</t>
  </si>
  <si>
    <t xml:space="preserve">KEW.PA-7 tidak disediakan
</t>
  </si>
  <si>
    <t xml:space="preserve">KEW.PA-7 disediakan tetapi tidak dikemas kini
</t>
  </si>
  <si>
    <t xml:space="preserve">Sebahagian KEW.PA-7 dikemas kini tetapi tidak dipamerkan
</t>
  </si>
  <si>
    <t xml:space="preserve">Semua bilik/ruang mempunyaKEW.PA-7 yang dikemas kini
</t>
  </si>
  <si>
    <t>Semua bilik/ruang mempunyai KEW.PA-7  yang dikemas kini serta dipamerkan di tempat yang sesuai dan mudah dirujuk</t>
  </si>
  <si>
    <t>ZON SEPAKAT: Semua bilik atau ruang mempunyai KEW.PA-7 tetapi terdapat sebahagian yang tidak dikemaskini</t>
  </si>
  <si>
    <t>Melantik Pegawai Bertanggungjawab (PIC) dan mempamerkan nombor untuk dihubungi</t>
  </si>
  <si>
    <t xml:space="preserve">Tiada PIC dilantik dan tiada nombor untuk dihubungi
</t>
  </si>
  <si>
    <t xml:space="preserve">Sebahagian ruang/bilik mempunyai PIC tetapi tiada nombor untuk dihubungi
</t>
  </si>
  <si>
    <t xml:space="preserve">Sebahagian ruang/bilik mempunyai PIC dan nombor untuk dihubungi
</t>
  </si>
  <si>
    <t xml:space="preserve">Semua ruang/bilik mempunyai PIC tetapi nombor tidak dipamerkan dengan jelas
</t>
  </si>
  <si>
    <t>Semua ruang/bilik mempunyai PIC dan nombor untuk dihubungi yang dipamerkan secara jelas dan konsisten</t>
  </si>
  <si>
    <t>Menyedia dan mempamerkan carta organisasi di ruang pejabat</t>
  </si>
  <si>
    <t xml:space="preserve">Tiada carta organisasi disediakan
</t>
  </si>
  <si>
    <t xml:space="preserve">Carta organisasi disediakan tetapi tidak dipamerkan
</t>
  </si>
  <si>
    <t xml:space="preserve">Carta organisasi disediakan dan dipamerkan tetapi tidak dikemas kini
</t>
  </si>
  <si>
    <t>Carta organisasi disediakan dan dipamerkan tetapi tidak lengkap</t>
  </si>
  <si>
    <t>Carta organisasi disediakan, lengkap, dikemas kini dan dipamerkan secara profesional</t>
  </si>
  <si>
    <t>Merancang dan melaksanakan inisiatif/aktiviti peningkatan persekitaran tempat kerja</t>
  </si>
  <si>
    <t xml:space="preserve">Tiada inisiatif dirancang atau dilaksanakan
</t>
  </si>
  <si>
    <t>Inisiatif dirancang tetapi tidak dilaksanaka</t>
  </si>
  <si>
    <t xml:space="preserve">Inisiatif dilaksanakan tetapi tidak dinilai atau direkodkan
</t>
  </si>
  <si>
    <t xml:space="preserve">Inisiatif dilaksanakan dan dinilai secara asas
</t>
  </si>
  <si>
    <t>Inisiatif dilaksanakan, dinilai secara sistematik dan direkodkan untuk penambahbaikan berterusan</t>
  </si>
  <si>
    <t>B9) MEJA KERJA WARGA/ KUBIKEL KERJA</t>
  </si>
  <si>
    <t>Memastikan meja kerja kemas dan tersusun dengan baik</t>
  </si>
  <si>
    <t xml:space="preserve">Meja kerja tidak kemas dan tidak tersusun langsung
</t>
  </si>
  <si>
    <t xml:space="preserve">Meja kerja tidak kemas tetapi tersusun secara asas
</t>
  </si>
  <si>
    <t xml:space="preserve">Meja kerja kemas tetapi susunan tidak sistematik
</t>
  </si>
  <si>
    <t xml:space="preserve">Meja kerja kemas dan tersusun dengan baik
</t>
  </si>
  <si>
    <t>Meja kerja kemas, tersusun dengan sangat baik dan selaras dengan prinsip EKSA</t>
  </si>
  <si>
    <t>Menyediakan paparan identiti warga serta elemen korporat yang seragam dan kemas</t>
  </si>
  <si>
    <t xml:space="preserve">Tiada paparan identiti atau elemen korporat
</t>
  </si>
  <si>
    <t xml:space="preserve">Paparan identiti disediakan tetapi tiada elemen korporat
</t>
  </si>
  <si>
    <t xml:space="preserve">Paparan identiti dan elemen korporat disediakan tetapi tidak seragam
</t>
  </si>
  <si>
    <t xml:space="preserve">Paparan identiti dan elemen korporat disediakan tetapi tidak kemas
</t>
  </si>
  <si>
    <t>Paparan identiti dan elemen korporat disediakan secara seragam, kemas dan selaras dengan imej organisasi</t>
  </si>
  <si>
    <t>Menyediakan ruang kerja yang minimum dan selesa</t>
  </si>
  <si>
    <t xml:space="preserve">Ruang kerja tidak minimum dan tidak selesa
</t>
  </si>
  <si>
    <t xml:space="preserve">Ruang kerja hanya memenuhi keperluan minimum
</t>
  </si>
  <si>
    <t xml:space="preserve">Ruang kerja hanya memenuhi keperluan keselesaan
</t>
  </si>
  <si>
    <t xml:space="preserve">Ruang kerja memenuhi keperluan minimum dan selesa
</t>
  </si>
  <si>
    <t>Ruang kerja disediakan secara optimum, selesa, ergonomik dan menyokong produktiviti</t>
  </si>
  <si>
    <t>B10) BILIK PEGAWAI</t>
  </si>
  <si>
    <t>Memastikan meja kerja kemas dan peralatan disusun dengan baik</t>
  </si>
  <si>
    <t xml:space="preserve">Meja kerja tidak kemas dan peralatan berselerak
</t>
  </si>
  <si>
    <t xml:space="preserve">Meja kerja tidak kemas tetapi peralatan disusun secara rawak
</t>
  </si>
  <si>
    <t xml:space="preserve">Meja kerja kemas tetapi susunan peralatan tidak sistematik
</t>
  </si>
  <si>
    <t xml:space="preserve">Meja kerja kemas dan peralatan disusun dengan baik
</t>
  </si>
  <si>
    <t>Meja kerja kemas, peralatan disusun dengan baik dan selaras dengan prinsip EKSA</t>
  </si>
  <si>
    <t>Menyediakan susunan perabot yang kemas dan sesuai</t>
  </si>
  <si>
    <t xml:space="preserve">Perabot tidak disusun langsung
</t>
  </si>
  <si>
    <t xml:space="preserve">Sebahagian besar perabot tidak disusun secara teratur
</t>
  </si>
  <si>
    <t xml:space="preserve">Sebahagian besar perabot disusun dan kelihatan kemas
</t>
  </si>
  <si>
    <t xml:space="preserve">Semua perabot disusun kemas mengikut prinsip ergonomik
</t>
  </si>
  <si>
    <t>Semua perabot disusun kemas mengikut prinsip ergonomik dan selaras dengan imej korporat</t>
  </si>
  <si>
    <t>Menyediakan sistem fail yang kemas dan sistematik</t>
  </si>
  <si>
    <t xml:space="preserve">Sistem fail tidak kemas dan tidak tersusun
</t>
  </si>
  <si>
    <t xml:space="preserve">Sistem fail disusun tetapi tidak mengikut kriteria organisasi
</t>
  </si>
  <si>
    <t xml:space="preserve">Sistem fail disusun mengikut kriteria asas organisasi
</t>
  </si>
  <si>
    <t xml:space="preserve">Sistem fail disusun mengikut kriteria dan selaras dengan imej korporat
</t>
  </si>
  <si>
    <t>Sistem fail disusun secara sistematik, selaras dengan imej korporat dan mudah akses</t>
  </si>
  <si>
    <t>B11) STOR PERALATAN PEJABAT</t>
  </si>
  <si>
    <t>Memastikan stor menepati kriteria kebersihan dan susun atur:
- Bersih
- Tidak berdebu
- Tidak berbau</t>
  </si>
  <si>
    <t xml:space="preserve">Stor langsung tidak menepati kriteria
</t>
  </si>
  <si>
    <t xml:space="preserve">Sebahagian besar stor tidak menepati kriteria
</t>
  </si>
  <si>
    <t xml:space="preserve">Sebahagian besar stor menepati kriteria
</t>
  </si>
  <si>
    <t xml:space="preserve">Semua stor menepati kriteria dan disusun mengikut kategori fungsi
</t>
  </si>
  <si>
    <t>Semua stor menepati kriteria, disusun mengikut kategori fungsi dan mempunyai sistem rujukan kod</t>
  </si>
  <si>
    <t>Menyediakan sistem rekod iventori yang jelas dan teratur bagi memudahkan capaian barangan dengan cepat dan pantas</t>
  </si>
  <si>
    <t xml:space="preserve">Sistem stor tidak jelas dan tidak sistematik
</t>
  </si>
  <si>
    <t xml:space="preserve">Sistem stor disediakan tetapi sukar difahami atau tidak konsisten
</t>
  </si>
  <si>
    <t xml:space="preserve">Sistem stor jelas tetapi tidak dikemas kini atau tidak sistematik
</t>
  </si>
  <si>
    <t xml:space="preserve">Sistem stor jelas, dikemas kini dan sistematik
</t>
  </si>
  <si>
    <t>Sistem stor jelas, dikemas kini, sistematik dan dikategorikan mengikut fungsi serta mudah dicapai</t>
  </si>
  <si>
    <t>Menyediakan label pada setiap ruang letak barang/bahan yang berkenaan</t>
  </si>
  <si>
    <t xml:space="preserve">Tiada label disediakan langsung
</t>
  </si>
  <si>
    <t xml:space="preserve">Sebahagian ruang letak barang/bahan tiada label
</t>
  </si>
  <si>
    <t xml:space="preserve">Sebahagian ruang letak barang/bahan berlabel tetapi tidak konsisten
</t>
  </si>
  <si>
    <t xml:space="preserve">Semua ruang letak barang/bahan berlabel dengan jelas
</t>
  </si>
  <si>
    <t>Semua ruang letak barang/bahan berlabel mengikut sistem kategori penggunaan dan direkodkan</t>
  </si>
  <si>
    <t>Memastikan etika penggunaan dan peraturan pengambilan barang dari stor dipatuhi warga kerja</t>
  </si>
  <si>
    <t xml:space="preserve">Etika penggunaan tidak disediakan dan tidak dipatuhi
</t>
  </si>
  <si>
    <t xml:space="preserve">Etika penggunaan disediakan tetapi tidak dipatuhi oleh warga kerja
</t>
  </si>
  <si>
    <t xml:space="preserve">Sebahagian warga kerja mematuhi etika penggunaan
</t>
  </si>
  <si>
    <t xml:space="preserve">Semua warga kerja mematuhi etika penggunaan
</t>
  </si>
  <si>
    <t>Semua warga kerja mematuhi etika penggunaan dan peraturan dipamerkan secara jelas serta dikemas kini</t>
  </si>
  <si>
    <t>Menyediakan tempat khas untuk menyimpan barang-barang yang tidak digunakan</t>
  </si>
  <si>
    <t xml:space="preserve">Barang-barang tidak digunakan disimpan secara berselerak
</t>
  </si>
  <si>
    <t xml:space="preserve">Barang-barang tidak digunakan disimpan tetapi tidak dikemas rapi
</t>
  </si>
  <si>
    <t xml:space="preserve">Barang-barang tidak digunakan disimpan di tempat khas tetapi tidak sistematik
</t>
  </si>
  <si>
    <t xml:space="preserve">Barang-barang tidak digunakan disimpan di tempat khas dan dikemas rapi
</t>
  </si>
  <si>
    <t>Semua barang tidak digunakan disimpan di tempat khas, dikemas rapi dan direkodkan</t>
  </si>
  <si>
    <t>Menyediakan rak/troli/peralatan yang sesuai untuk menyimpan dokumen dan peralatan di dalam stor</t>
  </si>
  <si>
    <t xml:space="preserve">Tiada rak/troli/peralatan disediakan
</t>
  </si>
  <si>
    <t xml:space="preserve">Rak/troli/peralatan disediakan tetapi tidak digunakan dengan baik
</t>
  </si>
  <si>
    <t xml:space="preserve">Rak/troli/peralatan digunakan tetapi tidak mencukupi
</t>
  </si>
  <si>
    <t xml:space="preserve">Rak/troli/peralatan digunakan dengan baik dan mencukupi
</t>
  </si>
  <si>
    <t>Semua dokumen/peralatan disimpan di rak/troli/peralatan yang sesuai dan mengikut kategori</t>
  </si>
  <si>
    <t>Menyediakan aras minimum barang dalam stor</t>
  </si>
  <si>
    <t>Tiada aras minimum barang ditetapka</t>
  </si>
  <si>
    <t xml:space="preserve">Aras minimum hanya ditetapkan untuk sebahagian barang
</t>
  </si>
  <si>
    <t xml:space="preserve">Aras minimum ditetapkan untuk semua barang tetapi tidak dipamerkan
</t>
  </si>
  <si>
    <t xml:space="preserve">Aras minimum ditetapkan dan dipamerkan dengan jelas
</t>
  </si>
  <si>
    <t>Aras minimum ditetapkan, dipamerkan dan direkodkan secara sistematik serta dikemas kini</t>
  </si>
  <si>
    <t>B12) BILIK FAIL</t>
  </si>
  <si>
    <t>Memastikan bilik fail menepati kebersihan dan susun atur fail yang memenuhi kriteria berikut: 
 -Bersih,
-Tidak berbau
- Tidak berhabuk
- Tersusun kemas</t>
  </si>
  <si>
    <t xml:space="preserve">Bilik fail langsung tidak menepati kriteria
</t>
  </si>
  <si>
    <t xml:space="preserve">Sebahagian besar bilik fail tidak menepati kriteria
</t>
  </si>
  <si>
    <t xml:space="preserve">Sebahagian besar bilik fail menepati kriteria asas
</t>
  </si>
  <si>
    <t xml:space="preserve">Semua bilik fail menepati kriteria dan diselenggara secara berkala
</t>
  </si>
  <si>
    <t>Semua bilik fail menepati kriteria, diselenggara secara berkala dan selaras dengan prinsip EKSA serta imej korporat</t>
  </si>
  <si>
    <t>Menyediakan susunan ergonomik bagi peralatan dan kabinet dokumen</t>
  </si>
  <si>
    <t xml:space="preserve">Peralatan dan kabinet berantakan dan tidak selamat digunakan
</t>
  </si>
  <si>
    <t xml:space="preserve">Susunan tidak mengikut prinsip ergonomik dan menyukarkan capaian
</t>
  </si>
  <si>
    <t xml:space="preserve">Sebahagian besar peralatan dan kabinet disusun kemas mengikut prinsip ergonomik
</t>
  </si>
  <si>
    <t xml:space="preserve">Semua peralatan dan kabinet disusun kemas dan selamat digunakan
</t>
  </si>
  <si>
    <t>Semua peralatan dan kabinet disusun kemas, selamat dan selaras dengan imej korporat serta menyokong produktiviti</t>
  </si>
  <si>
    <t>Memastikan fail disusun mengikut sistem yang memudahkan carian/capaian dalam tempoh 30 saat</t>
  </si>
  <si>
    <t xml:space="preserve">Fail tidak disusun dan berantakan
</t>
  </si>
  <si>
    <t xml:space="preserve">Fail disusun tetapi tidak mengikut sistem yang jelas
</t>
  </si>
  <si>
    <t xml:space="preserve">Sebahagian fail disusun secara sistematik dan mudah dicapai
</t>
  </si>
  <si>
    <t xml:space="preserve">Semua fail disusun secara sistematik dan boleh dicapai dalam tempoh 30 saat
</t>
  </si>
  <si>
    <t>Semua fail disusun secara sistematik, boleh dicapai dalam tempoh 30 saat dan menyokong kecekapan kerja</t>
  </si>
  <si>
    <t>Menyediakan daftar (indeks) fail organisasi serta menggunakan nombor fail unik</t>
  </si>
  <si>
    <t xml:space="preserve">Daftar/indeks fail tidak disediakan langsung
</t>
  </si>
  <si>
    <t xml:space="preserve">Daftar/indeks fail disediakan tetapi tidak lengkap
</t>
  </si>
  <si>
    <t xml:space="preserve">Daftar/indeks fail lengkap dan mudah dirujuk
</t>
  </si>
  <si>
    <t xml:space="preserve">Daftar/indeks fail lengkap, mudah dirujuk dan menggunakan nombor fail unik
</t>
  </si>
  <si>
    <t>Daftar/indeks fail lengkap, mudah dirujuk, menggunakan nombor fail unik dan direka bentuk menyokong produktiviti</t>
  </si>
  <si>
    <t>Memastikan fail aktif dan tidak aktif dilabelkan serta diberikan nombor susunan fail</t>
  </si>
  <si>
    <t xml:space="preserve">Sistem pelabelan tidak disediakan
</t>
  </si>
  <si>
    <t xml:space="preserve">Label disediakan hanya untuk sebahagian fail
</t>
  </si>
  <si>
    <t xml:space="preserve">Semua fail dilabelkan tetapi tiada nombor susunan
</t>
  </si>
  <si>
    <t xml:space="preserve">Semua fail dilabelkan dan diberikan nombor susunan dengan jelas
</t>
  </si>
  <si>
    <t>Semua fail dilabelkan dan diberikan nombor susunan dengan jelas, reka bentuk menarik dan menyokong kecekapan</t>
  </si>
  <si>
    <t>Menyediakan sistem kawalan fail untuk semua kategori fail aktif, tidak aktif dan tertutup</t>
  </si>
  <si>
    <t xml:space="preserve">Sistem kawalan fail tidak disediakan langsung
</t>
  </si>
  <si>
    <t xml:space="preserve">Sistem kawalan fail disediakan tetapi tidak digunakan
</t>
  </si>
  <si>
    <t xml:space="preserve">Sistem kawalan fail digunakan tetapi tidak dikemas kini
</t>
  </si>
  <si>
    <t xml:space="preserve">Sistem kawalan fail digunakan dan dikemas kini untuk semua kategori fail
</t>
  </si>
  <si>
    <t>Sistem kawalan fail digunakan, dikemas kini, menyeluruh dan menyokong kecekapan serta pematuhan audit</t>
  </si>
  <si>
    <t>B13) SUDUT/ BILIK CETAK/ DOKUMENTASI</t>
  </si>
  <si>
    <t>Memastikan sudut/bilik cetak/dokumentasi memenuhi kriteria berikut:
- Bersih
- Tidak berdebu
- Tersusun
- Kemas</t>
  </si>
  <si>
    <t xml:space="preserve">Tidak memenuhi sebarang kriteria
</t>
  </si>
  <si>
    <t xml:space="preserve">Hanya dua kriteria dipenuhi
</t>
  </si>
  <si>
    <t xml:space="preserve">Hanya tiga kriteria dipenuhi
</t>
  </si>
  <si>
    <t xml:space="preserve">Empat kriteria dipenuhi dan diselenggara secara berkala
</t>
  </si>
  <si>
    <t>Semua kriteria dipenuhi, tiada debu kelihatan, bilik kelihatan kemas dan selaras dengan prinsip EKSA</t>
  </si>
  <si>
    <t>Menyediakan susunan ergonomik bagi peralatan, kabinet dokumen dan rak simpanan</t>
  </si>
  <si>
    <t xml:space="preserve">Peralatan, kabinet dan rak disusun secara rawak dan tidak selamat
</t>
  </si>
  <si>
    <t xml:space="preserve">Sebahagian susunan mengikut prinsip ergonomik tetapi tidak konsisten
</t>
  </si>
  <si>
    <t xml:space="preserve">Semua peralatan disusun kemas dan mudah dicapai mengikut prinsip ergonomik
</t>
  </si>
  <si>
    <t>Semua peralatan disusun kemas, mudah dicapai, selaras dengan prinsip EKSA dan menyokong produktiviti</t>
  </si>
  <si>
    <t>B14) BILIK PEMANDU</t>
  </si>
  <si>
    <t>Memastikan meja kerja kemas, bersih dan tidak bersepah dengan barang peribadi</t>
  </si>
  <si>
    <t xml:space="preserve">Meja kerja tidak kemas dan bersepah dengan barang peribadi
</t>
  </si>
  <si>
    <t xml:space="preserve">Sebahagian meja kerja kemas dan bersih tetapi masih terdapat barang peribadi
</t>
  </si>
  <si>
    <t xml:space="preserve">Meja kerja kemas dan bersih tetapi masih terdapat sedikit barang peribadi
</t>
  </si>
  <si>
    <t xml:space="preserve">Meja kerja kemas dan bersih, tiada barang peribadi kelihatan
</t>
  </si>
  <si>
    <t>Meja kerja kemas dan bersih, tiada langsung barang peribadi dan selaras dengan imej korporat</t>
  </si>
  <si>
    <t>Memastikan meja kerja tidak berhabuk dan bebas daripada sawang/lilin</t>
  </si>
  <si>
    <t xml:space="preserve">Meja kerja berhabuk dan terdapat sawang/lilin
</t>
  </si>
  <si>
    <t xml:space="preserve">Meja kerja tidak berhabuk tetapi terdapat sawang/lilin
</t>
  </si>
  <si>
    <t xml:space="preserve">Sebahagian meja kerja tidak berhabuk dan bebas daripada sawang/lilin
</t>
  </si>
  <si>
    <t xml:space="preserve">Meja kerja tidak berhabuk dan bebas daripada sawang/lilin
</t>
  </si>
  <si>
    <t>Meja kerja tidak berhabuk, bebas daripada sawang/lilin dan kelihatan sangat kemas serta bersih</t>
  </si>
  <si>
    <t>B15) BILIK ICT</t>
  </si>
  <si>
    <t>Memastikan bilik ICT memenuhi kriteria berikut:
- Bersih
- Tidak berdebu
- Tersusun
- Kemas
- Selamat
- Peralatan berfungsi</t>
  </si>
  <si>
    <t xml:space="preserve">Bilik ICT langsung tidak memenuhi sebarang kriteria dan peralatan tidak berfungsi
</t>
  </si>
  <si>
    <t xml:space="preserve">Bilik ICT hanya memenuhi satu atau dua kriteria asas dan sebahagian peralatan tidak berfungsi
</t>
  </si>
  <si>
    <t xml:space="preserve">Bilik ICT memenuhi tiga hingga empat kriteria asas dan kebanyakan peralatan berfungsi
</t>
  </si>
  <si>
    <t xml:space="preserve">Bilik ICT memenuhi semua kriteria dan semua peralatan berfungsi tetapi tidak diselenggara secara berkala
</t>
  </si>
  <si>
    <t>Bilik ICT memenuhi semua kriteria, semua peralatan berfungsi, diselenggara secara berkala dan selaras dengan prinsip EKSA serta keselamatan digital</t>
  </si>
  <si>
    <t>Memastikan bilik server memenuhi kriteria berikut:
- Bersih
- Tidak berdebu
- Tersusun
- Kemas
- Selamat</t>
  </si>
  <si>
    <t xml:space="preserve">Bilik server langsung tidak memenuhi sebarang kriteria
</t>
  </si>
  <si>
    <t xml:space="preserve">Bilik server hanya memenuhi satu kriteria asas
</t>
  </si>
  <si>
    <t xml:space="preserve">Bilik server hanya memenuhi dua kriteria asas
</t>
  </si>
  <si>
    <t xml:space="preserve">Bilik server memenuhi tiga hingga empat kriteria asas
</t>
  </si>
  <si>
    <t>Bilik server bebas daripada debu, disusun secara sistematik, selamat dan selaras dengan prinsip EKSA serta direkodkan dalam sistem pemantauan</t>
  </si>
  <si>
    <t>Menyediakan jadual penyelenggaraan peralatan ICT dan memastikan pelaksanaan berkala</t>
  </si>
  <si>
    <t xml:space="preserve">Tiada jadual penyelenggaraan disediakan dan tiada rekod pelaksanaan
</t>
  </si>
  <si>
    <t xml:space="preserve">Jadual penyelenggaraan dilaksanakan secara ad hoc tanpa rekod
</t>
  </si>
  <si>
    <t xml:space="preserve">Jadual penyelenggaraan dilaksanakan secara berkala dan direkodkan
</t>
  </si>
  <si>
    <t>Jadual penyelenggaraan dilaksanakan secara berkala, direkodkan, dianalisis dan digunakan untuk penambahbaikan prestasi peralatan ICT</t>
  </si>
  <si>
    <t>B16) BILIK SUKAN</t>
  </si>
  <si>
    <t>Memastikan ruang bilik sukan bersih, kemas dan sesuai untuk aktiviti fizikal</t>
  </si>
  <si>
    <t xml:space="preserve">Ruang kotor, tidak kemas dan tidak sesuai
</t>
  </si>
  <si>
    <t xml:space="preserve">Ruang bersih tetapi tidak kemas dan tidak sesuai
</t>
  </si>
  <si>
    <t xml:space="preserve">Ruang bersih dan kemas tetapi tidak sesuai untuk aktiviti
</t>
  </si>
  <si>
    <t xml:space="preserve">Ruang bersih, kemas dan sesuai secara asas
</t>
  </si>
  <si>
    <t>Ruang bersih, kemas, sesuai dan menyokong aktiviti fizikal serta selaras dengan imej korporat</t>
  </si>
  <si>
    <t>Menyediakan peralatan sukan dalam keadaan baik dan disusun mengikut kategori</t>
  </si>
  <si>
    <t xml:space="preserve">Peralatan rosak dan tidak disusun
</t>
  </si>
  <si>
    <t xml:space="preserve">Sebahagian peralatan berfungsi tetapi tidak disusun
</t>
  </si>
  <si>
    <t xml:space="preserve">Peralatan berfungsi tetapi tidak lengkap
</t>
  </si>
  <si>
    <t xml:space="preserve">Semua peralatan berfungsi dan disusun secara asas
</t>
  </si>
  <si>
    <t>Semua peralatan berfungsi, lengkap dan disusun mengikut jenis sukan serta mudah dicapai</t>
  </si>
  <si>
    <t>KOMPONEN C</t>
  </si>
  <si>
    <t>TEMPAT UMUM</t>
  </si>
  <si>
    <t>C1) LOBI UTAMA/ RUANG HADAPAN</t>
  </si>
  <si>
    <t>Memastikan persekitaran lobi utama/ruang hadapan memenuhi kriteria berikut:
- Bersih
- Tidak berdebu
- Kemas
- Ceria
- Selaras dengan imej korporat</t>
  </si>
  <si>
    <t xml:space="preserve">Persekitaran lobi kotor dan tidak memenuhi sebarang kriteria
</t>
  </si>
  <si>
    <t xml:space="preserve">Persekitaran lobi bersih dan kemas tetapi tidak menyerlah dengan imej korporat
</t>
  </si>
  <si>
    <t xml:space="preserve">Persekitaran lobi memenuhi tiga kriteria asas
</t>
  </si>
  <si>
    <t xml:space="preserve">Persekitaran lobi memenuhi empat kriteria asas dan selaras dengan imej korporat
</t>
  </si>
  <si>
    <t>Persekitaran lobi ceria, kemas dan selaras dengan imej korporat serta memberikan imej positif kepada warga dan pelanggan</t>
  </si>
  <si>
    <t>Memaparkan maklumat korporat berkaitan agensi yang terkini
Contoh: Visi, Misi, Pengurusan Atasan, Moto, Piagam Pelanggan</t>
  </si>
  <si>
    <t xml:space="preserve">Tiada maklumat dipaparkan
</t>
  </si>
  <si>
    <t xml:space="preserve">Maklumat dipaparkan tetapi tidak lengkap dan tidak terkini
</t>
  </si>
  <si>
    <t xml:space="preserve">Maklumat dipaparkan tetapi tidak terkini
</t>
  </si>
  <si>
    <t xml:space="preserve">Memaparkan satu hingga tiga maklumat yang disyorkan dan terkini
</t>
  </si>
  <si>
    <t>Semua maklumat yang disyorkan dipaparkan secara lengkap, terkini dan selaras dengan imej korporat</t>
  </si>
  <si>
    <t>Menyediakan perkara berkaitan agensi yang disyorkan di ruang hadapan
Contoh: Buku kedatangan pelawat, direktori pegawai, sudut informasi, perhiasan selaras imej korporat</t>
  </si>
  <si>
    <t xml:space="preserve">Tiada perkara disediakan
</t>
  </si>
  <si>
    <t xml:space="preserve">Hanya sebahagian perkara disediakan secara minimum
</t>
  </si>
  <si>
    <t xml:space="preserve">Perkara disediakan secara berasingan dan tidak konsisten
</t>
  </si>
  <si>
    <t xml:space="preserve">Perkara disediakan secara hampir lengkap dan menarik
</t>
  </si>
  <si>
    <t>Semua perkara disyorkan disediakan secara lengkap, menarik dan reka bentuk memberi penarikan kepada warga dan pelanggan</t>
  </si>
  <si>
    <t>C2) KAUNTER UTAMA</t>
  </si>
  <si>
    <t>Memastikan imej korporat dipraktikkan dan kaunter utama menyediakan perkara berikut:
- Sistem maklum balas pelanggan
- Direktori pegawai/agensi
- Borang/brosur berkaitan
- Bahan bacaan/informasi
- Info mengenai agensi/piagam pelanggan
- Maklumat kadar bayaran (sekiranya ada)</t>
  </si>
  <si>
    <t xml:space="preserve">Kaunter utama tidak menyediakan sebarang perkara yang disyorkan
</t>
  </si>
  <si>
    <t xml:space="preserve">Kaunter utama menyediakan antara satu hingga dua perkara yang disyorkan
</t>
  </si>
  <si>
    <t xml:space="preserve">Kaunter utama menyediakan antara tiga hingga empat perkara yang disyorkan
</t>
  </si>
  <si>
    <t xml:space="preserve">Kaunter utama menyediakan antara lima hingga enam perkara yang disyorkan
</t>
  </si>
  <si>
    <t>Kaunter utama menyediakan semua perkara yang disyorkan serta disusun dengan menarik dan selaras dengan imej korporat</t>
  </si>
  <si>
    <t>Memastikan kaunter utama sentiasa bersih, kemas dan ceria</t>
  </si>
  <si>
    <t xml:space="preserve">Kaunter utama tidak bersih, tidak kemas dan kotor
</t>
  </si>
  <si>
    <t xml:space="preserve">Kaunter utama bersih tetapi tidak kemas dan ceria
</t>
  </si>
  <si>
    <t xml:space="preserve">Kaunter utama bersih dan kemas tetapi tidak ceria
</t>
  </si>
  <si>
    <t xml:space="preserve">Kaunter utama ceria tetapi tidak cukup bersih dan kemas
</t>
  </si>
  <si>
    <t>Kaunter utama ceria, sangat bersih dan tersusun kemas</t>
  </si>
  <si>
    <t>Melaksanakan usaha-usaha ke arah konsep ❝delighting the customer❞
Contoh: Persekitaran yang kondusif dan kemudahan sokongan dilaksanakan.</t>
  </si>
  <si>
    <t xml:space="preserve">Usaha-usaha ke arah “delighting the customer” langsung tidak dilaksanakan
</t>
  </si>
  <si>
    <t xml:space="preserve">Sebahagian persekitaran ataupun tiada kemudahan sokongan diberikan di kaunter utama
</t>
  </si>
  <si>
    <t xml:space="preserve">Usaha-usaha “delighting the customer” dilaksanakan secara tidak konsisten atau separuh jalan sahaja
</t>
  </si>
  <si>
    <t xml:space="preserve">Persekitaran kaunter utama adalah kondusif dengan sedikit kemudahan sokongan diberikan kepada pelanggan
</t>
  </si>
  <si>
    <t>Persekitaran kaunter utama sangat kondusif dan dilengkapi pelbagai kemudahan sokongan untuk keselesaan pelanggan</t>
  </si>
  <si>
    <t>Menyediakan perkhidmatan yang mesra pelanggan</t>
  </si>
  <si>
    <t xml:space="preserve">Perkhidmatan tidak mesra pelanggan langsung (tiada interaksi, tiada bantuan)
</t>
  </si>
  <si>
    <t xml:space="preserve">Perkhidmatan disediakan tetapi tidak mesra atau tidak konsisten
</t>
  </si>
  <si>
    <t xml:space="preserve">Perkhidmatan mesra pelanggan disediakan secara asas tetapi tidak menyeluruh
</t>
  </si>
  <si>
    <t xml:space="preserve">Perkhidmatan mesra pelanggan disediakan secara menyeluruh dan konsisten
</t>
  </si>
  <si>
    <t>Perkhidmatan mesra pelanggan disediakan secara menyeluruh, konsisten dan disokong dengan latihan, SOP serta pemantauan berkala</t>
  </si>
  <si>
    <t>Menyedia dan memaparkan carta aliran perkhidmatan yang dikemas kini</t>
  </si>
  <si>
    <t xml:space="preserve">Carta aliran langsung tidak disediakan
</t>
  </si>
  <si>
    <t xml:space="preserve">Carta aliran disediakan tetapi tidak dikemas kini dan tidak dipamerkan
</t>
  </si>
  <si>
    <t xml:space="preserve">Carta aliran disediakan dan dipamerkan tetapi tidak dikemas kini
</t>
  </si>
  <si>
    <t xml:space="preserve">Carta aliran disediakan, dikemas kini dan dipamerkan di lokasi strategik
</t>
  </si>
  <si>
    <t>Carta aliran disediakan, dikemas kini, dipamerkan secara strategik dan direka bentuk menarik serta mudah difahami oleh pelanggan</t>
  </si>
  <si>
    <t>Zon Effektif: (CUMA ADA PIAGAM PELANGGAN)</t>
  </si>
  <si>
    <t>C3) RUANG MENUNGGU</t>
  </si>
  <si>
    <t>Memastikan persekitaran ruang menunggu pelanggan memenuhi kriteria berikut:
- Bersih
- Terjaga
- Selamat
- Kemas</t>
  </si>
  <si>
    <t xml:space="preserve">Ruang menunggu tidak memenuhi sebarang kriteria
</t>
  </si>
  <si>
    <t xml:space="preserve">Ruang menunggu pelanggan tidak kemas dan tidak selamat
</t>
  </si>
  <si>
    <t xml:space="preserve">Ruang menunggu pelanggan bersih dan terjaga tetapi tidak kemas
</t>
  </si>
  <si>
    <t xml:space="preserve">Ruang menunggu pelanggan memenuhi tiga kriteria
</t>
  </si>
  <si>
    <t>Ruang menunggu pelanggan memenuhi semua kriteria dan selaras dengan imej korporat</t>
  </si>
  <si>
    <t>Memaparkan bahan bacaan/informasi yang sesuai dan tersedia serta disusun dengan kemas (jika ada)</t>
  </si>
  <si>
    <t xml:space="preserve">Bahan bacaan tidak disediakan
</t>
  </si>
  <si>
    <t xml:space="preserve">Bahan bacaan disediakan tetapi tidak disusun kemas
</t>
  </si>
  <si>
    <t xml:space="preserve">Bahan bacaan/informasi disediakan tetapi terhad dan tidak kemas
</t>
  </si>
  <si>
    <t xml:space="preserve">Bahan bacaan/informasi disediakan dalam pelbagai pilihan tetapi tidak kemas
</t>
  </si>
  <si>
    <t>Bahan bacaan/informasi disediakan dalam pelbagai pilihan dan disusun dengan kemas serta menarik</t>
  </si>
  <si>
    <t>Memastikan kerusi berada dalam keadaan baik dan mencukupi</t>
  </si>
  <si>
    <t xml:space="preserve">Semua kerusi rosak dan tidak boleh digunakan
</t>
  </si>
  <si>
    <t xml:space="preserve">Sebahagian kerusi berada dalam keadaan baik
</t>
  </si>
  <si>
    <t xml:space="preserve">Sebahagian kerusi berada dalam keadaan rosak
</t>
  </si>
  <si>
    <t xml:space="preserve">Kerusi berada dalam keadaan baik tetapi tidak mencukupi
</t>
  </si>
  <si>
    <t>Kerusi berada dalam keadaan baik, mencukupi dan selesa digunakan</t>
  </si>
  <si>
    <t>C4) LALUAN UTAMA/ KORIDOR</t>
  </si>
  <si>
    <t>Memastikan susunan peralatan atau hiasan sepanjang laluan kemas, bersih dan teratur</t>
  </si>
  <si>
    <t xml:space="preserve">Semua susunan peralatan atau hiasan tidak kemas dan berselerak
</t>
  </si>
  <si>
    <t xml:space="preserve">Sebahagian susunan peralatan atau hiasan tidak kemas dan tidak bersih
</t>
  </si>
  <si>
    <t xml:space="preserve">Sebahagian susunan peralatan atau hiasan kemas dan teratur
</t>
  </si>
  <si>
    <t xml:space="preserve">Semua susunan peralatan atau hiasan kemas dan bersih tetapi tidak teratur
</t>
  </si>
  <si>
    <t>Semua susunan peralatan atau hiasan kemas, bersih, teratur dan selaras dengan imej korporat</t>
  </si>
  <si>
    <t>Zon Sepakat: sebahagian tidak selaras dengan imej korporat</t>
  </si>
  <si>
    <t>Zon Komited : Hampir semua bersih, teratur, kemas tetapi sebahagian tidak berimej korporat</t>
  </si>
  <si>
    <t>Memastikan tiada halangan di sepanjang laluan ke pintu kecemasan</t>
  </si>
  <si>
    <t xml:space="preserve">Terdapat halangan di sepanjang laluan ke pintu kecemasan
</t>
  </si>
  <si>
    <t xml:space="preserve">Sebahagian laluan ke pintu kecemasan terhalang
</t>
  </si>
  <si>
    <t xml:space="preserve">Sebahagian besar laluan ke pintu kecemasan bebas daripada halangan
</t>
  </si>
  <si>
    <t xml:space="preserve">Semua laluan ke pintu kecemasan bebas daripada halangan tetapi tidak ditanda dengan jelas
</t>
  </si>
  <si>
    <t>Semua laluan ke pintu kecemasan bebas daripada halangan dan ditanda dengan jelas serta selaras dengan pelan keselamatan</t>
  </si>
  <si>
    <t>C5) BILIK MESYUARAT</t>
  </si>
  <si>
    <t>Memastikan semua peralatan seperti meja, kerusi, mikrofon dan komputer disusun dengan kemas dan bersih</t>
  </si>
  <si>
    <t xml:space="preserve">Semua peralatan tidak disusun dan tidak bersih
</t>
  </si>
  <si>
    <t xml:space="preserve">Sebahagian peralatan disusun tetapi tidak bersih
</t>
  </si>
  <si>
    <t xml:space="preserve">Sebahagian peralatan disusun dengan baik dan bersih
</t>
  </si>
  <si>
    <t xml:space="preserve">Semua peralatan disusun dengan baik tetapi tidak bersih
</t>
  </si>
  <si>
    <t xml:space="preserve">Semua peralatan disusun dengan baik, bersih dan selaras dengan prinsip EKSA serta imej korporat
</t>
  </si>
  <si>
    <t>Memastikan persediaan bilik mesyuarat dalam keadaan bersih dan kemas</t>
  </si>
  <si>
    <t xml:space="preserve">Persediaan bilik mesyuarat tidak lengkap dan tidak kemas serta tidak bersih
</t>
  </si>
  <si>
    <t xml:space="preserve">Persediaan bilik mesyuarat tidak lengkap dan tidak kemas
</t>
  </si>
  <si>
    <t xml:space="preserve">Persediaan bilik mesyuarat tidak lengkap tetapi bersih
</t>
  </si>
  <si>
    <t xml:space="preserve">Persediaan bilik mesyuarat lengkap tetapi tidak kemas
</t>
  </si>
  <si>
    <t>Persediaan bilik mesyuarat lengkap, bersih, kemas dan selaras dengan imej korporat serta menyokong kelancaran mesyuarat</t>
  </si>
  <si>
    <t>C6) PERPUSTAKAAN/ PUSAT SUMBER</t>
  </si>
  <si>
    <t>Memastikan ruang perpustakaan/pusat sumber bersih, kemas dan teratur</t>
  </si>
  <si>
    <t xml:space="preserve">Ruang perpustakaan kotor, tidak kemas dan tidak teratur
</t>
  </si>
  <si>
    <t xml:space="preserve">Ruang perpustakaan kurang bersih, kurang kemas dan tidak teratur
</t>
  </si>
  <si>
    <t xml:space="preserve">Ruang perpustakaan bersih, kemas dan teratur secara asas
</t>
  </si>
  <si>
    <t xml:space="preserve">Ruang perpustakaan bersih, kemas dan teratur serta selaras dengan imej korporat
</t>
  </si>
  <si>
    <t>Ruang perpustakaan sangat bersih, kemas, teratur dan menyokong suasana pembelajaran kondusif</t>
  </si>
  <si>
    <t>Menyediakan sistem rekod peminjaman bahan bacaan yang kemas dan teratur</t>
  </si>
  <si>
    <t xml:space="preserve">Tiada sistem rekod peminjaman disediakan
</t>
  </si>
  <si>
    <t xml:space="preserve">Sistem rekod disediakan tetapi tidak kemas dan tidak teratur
</t>
  </si>
  <si>
    <t xml:space="preserve">Sistem rekod disediakan, kemas dan teratur secara asas
</t>
  </si>
  <si>
    <t xml:space="preserve">Sistem rekod disediakan, kemas dan teratur serta mudah dirujuk
</t>
  </si>
  <si>
    <t>Sistem rekod disediakan, kemas, teratur, dikemas kini dan selaras dengan SOP pengurusan bahan bacaan</t>
  </si>
  <si>
    <t>C7) SURAU/ BILIK SOLAT</t>
  </si>
  <si>
    <t>Memastikan barang-barang/peralatan solat disediakan dan disusun dengan teratur
Contoh: Telekung, Sejadah, Al-Quran, Rehal, Yasin, Tafsir</t>
  </si>
  <si>
    <t xml:space="preserve">Peralatan solat tidak mencukupi dan tidak disusun
</t>
  </si>
  <si>
    <t xml:space="preserve">Peralatan solat mencukupi tetapi tidak disusun dengan kemas
</t>
  </si>
  <si>
    <t xml:space="preserve">Peralatan solat mencukupi dan disusun secara asas
</t>
  </si>
  <si>
    <t xml:space="preserve">Peralatan solat mencukupi dan disusun dengan kemas serta mudah dicapai
</t>
  </si>
  <si>
    <t>Peralatan solat mencukupi, disusun dengan kemas, bersih dan selaras dengan imej korporat</t>
  </si>
  <si>
    <t>Menyediakan ruang yang sesuai untuk menjalankan ibadah seperti membaca Al-Quran dan solat</t>
  </si>
  <si>
    <t xml:space="preserve">Hanya satu sudut kecil disediakan tanpa kemudahan sokongan
</t>
  </si>
  <si>
    <t xml:space="preserve">Dua kemudahan disediakan tetapi tidak selesa
</t>
  </si>
  <si>
    <t xml:space="preserve">Dua kemudahan disediakan secara asas
</t>
  </si>
  <si>
    <t xml:space="preserve">Dua kemudahan disediakan dan selesa tetapi tidak lengkap
</t>
  </si>
  <si>
    <t>Semua kemudahan disediakan, selesa, lengkap dan menyokong suasana ibadah yang tenang serta kondusif</t>
  </si>
  <si>
    <t>Memastikan al-Quran/bahan bacaan sentiasa kemas dan dalam keadaan baik</t>
  </si>
  <si>
    <t xml:space="preserve">Semua al-Quran/bahan bacaan tidak kemas dan dalam keadaan tidak baik
</t>
  </si>
  <si>
    <t xml:space="preserve">Sebahagian al-Quran/bahan bacaan tidak kemas dan tidak lengkap
</t>
  </si>
  <si>
    <t xml:space="preserve">Sebahagian al-Quran/bahan bacaan kemas dan dalam keadaan baik
</t>
  </si>
  <si>
    <t xml:space="preserve">Semua al-Quran/bahan bacaan kemas dan dalam keadaan baik
</t>
  </si>
  <si>
    <t>Semua al-Quran/ bahan bacaan kemas, bersih, lengkap dan disusun secara sistematik</t>
  </si>
  <si>
    <t>Memastikan surau/bilik solat sentiasa bersih, berbau harum dan tidak berhabuk</t>
  </si>
  <si>
    <t xml:space="preserve">Surau/bilik solat tidak bersih, berbau dan berhabuk
</t>
  </si>
  <si>
    <t xml:space="preserve">Surau/bilik solat bersih tetapi berhabuk dan tidak berbau harum
</t>
  </si>
  <si>
    <t xml:space="preserve">Surau/bilik solat bersih dan berbau harum tetapi berhabuk
</t>
  </si>
  <si>
    <t xml:space="preserve">Surau/bilik solat bersih, berbau harum dan tidak berhabuk
</t>
  </si>
  <si>
    <t>Surau/bilik solat bersihm berbau harum, tidak berhabuk dan selesa digunakan</t>
  </si>
  <si>
    <t>Memastikan surau tidak berbau, tidak berhabuk dan tidak kotor</t>
  </si>
  <si>
    <t xml:space="preserve">Surau berbau, berhabuk dan kotor
</t>
  </si>
  <si>
    <t xml:space="preserve">Surau berbau dan berhabuk tetapi tidak kotor
</t>
  </si>
  <si>
    <t xml:space="preserve">Surau tidak berbau dan tidak berhabuk tetapi kotor
</t>
  </si>
  <si>
    <t xml:space="preserve">Surau tidak berbau, tidak berhabuk dan tidak kotor
</t>
  </si>
  <si>
    <t xml:space="preserve">Surau tidak berbau, tidak berhabuk dan tidak kotor dab diselenggara secara berkala
</t>
  </si>
  <si>
    <t>Memastikan tempat wuduk bersih dan selamat digunakan</t>
  </si>
  <si>
    <t xml:space="preserve">Tempat wuduk kotor dan licin
</t>
  </si>
  <si>
    <t xml:space="preserve">Tempat wuduk bersih tetapi tidak selamat digunakan
</t>
  </si>
  <si>
    <t xml:space="preserve">Tempat wuduk bersih dan selamat digunakan secara asas
</t>
  </si>
  <si>
    <t xml:space="preserve">Tempat wuduk bersih, selamat dan diselenggara secara berkala
</t>
  </si>
  <si>
    <t>Tempat wuduk bersih, selamat, selesa dan dilengkapi kemudahan sokongan</t>
  </si>
  <si>
    <t>C8) PANTRI/ TEMPAT MINUM</t>
  </si>
  <si>
    <t>Memastikan peralatan berada dalam keadaan baik, tersusun dan boleh digunakan</t>
  </si>
  <si>
    <t xml:space="preserve">Semua peralatan rosak dan tidak boleh digunakan
</t>
  </si>
  <si>
    <t xml:space="preserve">Peralatan boleh digunakan tetapi tidak dibersihkan
</t>
  </si>
  <si>
    <t xml:space="preserve">Peralatan boleh digunakan tetapi tidak disusun kemas
</t>
  </si>
  <si>
    <t xml:space="preserve">Peralatan boleh digunakan dan bersih tetapi ada kekurangan kecil
</t>
  </si>
  <si>
    <t>Peralatan boleh digunakan, bersih dan disusun kemas</t>
  </si>
  <si>
    <t>Memastikan pantri bersih, tidak berbau dan tidak mencemarkan pemandangan</t>
  </si>
  <si>
    <t xml:space="preserve">Pantri kotor, berbau dan tidak teratur
</t>
  </si>
  <si>
    <t xml:space="preserve">Pantri bersih tetapi berbau dan tidak kemas
</t>
  </si>
  <si>
    <t xml:space="preserve">Pantri bersih dan tidak berbau tetapi tidak kemas
</t>
  </si>
  <si>
    <t xml:space="preserve">Pantri bersih, tidak berbau dan kemas tetapi tidak sistematik
</t>
  </si>
  <si>
    <t xml:space="preserve">Pantri sangat bersih, tidak berbau, kemas dan tersusun secara estetik
</t>
  </si>
  <si>
    <t>C9) TANDAS</t>
  </si>
  <si>
    <t>Memastikan persekitaran tandas bersih dan kering</t>
  </si>
  <si>
    <t xml:space="preserve">Persekitaran tandas kotor dan basah
</t>
  </si>
  <si>
    <t xml:space="preserve">Persekitaran tandas basah tetapi tidak terlalu kotor
</t>
  </si>
  <si>
    <t xml:space="preserve">Persekitaran tandas kering tetapi tidak bersih
</t>
  </si>
  <si>
    <t xml:space="preserve">Persekitaran tandas kering dan bersih tetapi tidak kemas
</t>
  </si>
  <si>
    <t>Persekitaran tandas kering sangat bersih dan selamat digunakan</t>
  </si>
  <si>
    <t>Memastikan peralatan tandas berada dalam keadaan baik dan boleh digunakan</t>
  </si>
  <si>
    <t xml:space="preserve">Semua peralatan tandas rosak dan tidak boleh digunakan
</t>
  </si>
  <si>
    <t xml:space="preserve">Sebahagian peralatan tandas boleh digunakan tetapi tidak bersih
</t>
  </si>
  <si>
    <t xml:space="preserve">Sebahagian peralatan tandas bersih tetapi tidak berfungsi
</t>
  </si>
  <si>
    <t xml:space="preserve">Semua peralatan tandas bersih dan boleh digunakan tetapi tidak lengkap
</t>
  </si>
  <si>
    <t>Semua peralatan tandas bersih, lengkap dan berfungsi dengan baik</t>
  </si>
  <si>
    <t>Memastikan tandas tidak berbau</t>
  </si>
  <si>
    <t xml:space="preserve">Tandas berbau busuk dan tidak menyenangkan
</t>
  </si>
  <si>
    <t xml:space="preserve">Tandas berbau tetapi masih boleh digunakan
</t>
  </si>
  <si>
    <t xml:space="preserve">Sebahagian tandas tidak berbau
</t>
  </si>
  <si>
    <t>Tandas tidak berbau dan ada pengudaraan asa</t>
  </si>
  <si>
    <t>Tandas tidak berbau, ada pengudaraan baik dan penyegar udara</t>
  </si>
  <si>
    <t>Memaparkan pemakluman seperti jadual tugas, etika dan peraturan penggunaan tandas</t>
  </si>
  <si>
    <t xml:space="preserve">Tiada sebarang pemakluman dipaparkan
</t>
  </si>
  <si>
    <t xml:space="preserve">Pemakluman dipaparkan tetapi tidak lengkap dan tidak dikemas kini
</t>
  </si>
  <si>
    <t xml:space="preserve">Pemakluman dipaparkan dan dikemas kini tetapi tidak mudah difahami
</t>
  </si>
  <si>
    <t xml:space="preserve">Pemakluman dipaparkan, lengkap dan mudah difahami tetapi tidak menarik
</t>
  </si>
  <si>
    <t>Pemakluman dipaparkan secara lengkap, dikemas kini, mudah difahami dan direka bentuk menarik serta selaras dengan imej korporat</t>
  </si>
  <si>
    <t>Menyediakan tandas OKU dan berfungsi dengan baik</t>
  </si>
  <si>
    <t xml:space="preserve">Tiada tandas OKU disediakan
</t>
  </si>
  <si>
    <t xml:space="preserve">Tandas OKU disediakan tetapi tidak berfungsi dengan baik
</t>
  </si>
  <si>
    <t xml:space="preserve">Tandas OKU disediakan dan berfungsi dengan baik
</t>
  </si>
  <si>
    <t xml:space="preserve">Tandas OKU disediakan, berfungsi dengan baik dan bersih
</t>
  </si>
  <si>
    <t>Tandas OKU disediakan, berfungsi dengan baik, bersih dan selamat digunakan serta dilengkapi kemudahan sokongan</t>
  </si>
  <si>
    <t>KOMPONEN D</t>
  </si>
  <si>
    <t>BILIK PEMBELAJARAN &amp; PENGAJARAN</t>
  </si>
  <si>
    <t>D1) BENGKEL</t>
  </si>
  <si>
    <t>Memastikan ruang bengkel bersih, selamat dan tersusun</t>
  </si>
  <si>
    <t xml:space="preserve">Bengkel kotor, berhabuk dan tidak selamat
</t>
  </si>
  <si>
    <t xml:space="preserve">Bengkel bersih tetapi tidak selamat dan tidak tersusun
</t>
  </si>
  <si>
    <t xml:space="preserve">Bengkel bersih dan selamat tetapi tidak tersusun
</t>
  </si>
  <si>
    <t xml:space="preserve">Bengkel bersih, selamat dan sebahagian besar tersusun
</t>
  </si>
  <si>
    <t xml:space="preserve">Bengkel bersih, selamat, tersusun dan menyokong pembelajaran hands-on
</t>
  </si>
  <si>
    <t>Menyediakan peralatan bengkel dalam keadaan baik dan boleh digunakan</t>
  </si>
  <si>
    <t xml:space="preserve">Peralatan rosak dan tidak boleh digunakan
</t>
  </si>
  <si>
    <t xml:space="preserve">Sebahagian peralatan boleh digunakan tetapi tidak diselenggara
</t>
  </si>
  <si>
    <t xml:space="preserve">Peralatan boleh digunakan tetapi tidak lengkap
</t>
  </si>
  <si>
    <t xml:space="preserve">Semua peralatan boleh digunakan dan diselenggara secara berkala
</t>
  </si>
  <si>
    <t xml:space="preserve">Semua peralatan boleh digunakan, diselenggara dan disusun mengikut zon kerja
</t>
  </si>
  <si>
    <t>D2) BILIK KULIAH</t>
  </si>
  <si>
    <t>Memastikan bilik kuliah bersih, kemas dan selesa</t>
  </si>
  <si>
    <t xml:space="preserve">Bilik kuliah kotor dan tidak kemas
</t>
  </si>
  <si>
    <t xml:space="preserve">Bilik kuliah bersih tetapi tidak kemas dan tidak selesa
</t>
  </si>
  <si>
    <t xml:space="preserve">Bilik kuliah bersih dan kemas tetapi tidak selesa
</t>
  </si>
  <si>
    <t xml:space="preserve">Bilik kuliah bersih, kemas dan selesa secara asas
</t>
  </si>
  <si>
    <t xml:space="preserve">Bilik kuliah bersih, kemas, selesa dan menyokong suasana pembelajaran kondusif
</t>
  </si>
  <si>
    <t>Menyediakan bahan bantu mengajar dan paparan maklumat akademik</t>
  </si>
  <si>
    <t xml:space="preserve">Tiada bahan bantu mengajar atau paparan maklumat
</t>
  </si>
  <si>
    <t xml:space="preserve">Bahan bantu mengajar disediakan tetapi tidak dikemas kini
</t>
  </si>
  <si>
    <t xml:space="preserve">Bahan bantu mengajar dan maklumat akademik disediakan tetapi tidak lengkap
</t>
  </si>
  <si>
    <t xml:space="preserve">Bahan bantu mengajar dan maklumat akademik lengkap tetapi tidak menarik
</t>
  </si>
  <si>
    <t>Bahan bantu mengajar dan maklumat akademik lengkap, dikemas kini dan direka bentuk menarik</t>
  </si>
  <si>
    <t>D3) DEWAN KULIAH</t>
  </si>
  <si>
    <t>Memastikan susun atur kerusi, meja dan peralatan AV kemas dan berfungsi</t>
  </si>
  <si>
    <t xml:space="preserve">Susun atur tidak kemas dan peralatan AV tidak berfungsi
</t>
  </si>
  <si>
    <t xml:space="preserve">Susun atur kemas tetapi peralatan AV tidak berfungsi
</t>
  </si>
  <si>
    <t xml:space="preserve">Susun atur kemas dan sebahagian peralatan AV berfungsi
</t>
  </si>
  <si>
    <t xml:space="preserve">Susun atur kemas dan semua peralatan AV berfungsi
</t>
  </si>
  <si>
    <t>Susun atur kemas, semua peralatan AV berfungsi dan menyokong pembelajaran interaktif</t>
  </si>
  <si>
    <t>Zon Sepakat: Susun atur tidak kemas tetapi semua peralatan AV berfungsi</t>
  </si>
  <si>
    <t>Menyediakan ruang dewan kuliah yang selesa dan selaras dengan imej korporat</t>
  </si>
  <si>
    <t xml:space="preserve">Ruang tidak selesa dan tidak selaras dengan imej korporat
</t>
  </si>
  <si>
    <t xml:space="preserve">Ruang selesa tetapi tidak selaras dengan imej korporat
</t>
  </si>
  <si>
    <t xml:space="preserve">Ruang selesa dan sebahagian selaras dengan imej korporat
</t>
  </si>
  <si>
    <t xml:space="preserve">Ruang selesa dan selaras dengan imej korporat secara asas
</t>
  </si>
  <si>
    <t>Ruang selesa, selaras dengan imej korporat dan menyokong aktiviti rasmi</t>
  </si>
  <si>
    <t>D4) MAKMAL</t>
  </si>
  <si>
    <t>Memastikan makmal bersih, selamat dan mematuhi SOP keselamatan</t>
  </si>
  <si>
    <t xml:space="preserve">Makmal kotor, tidak selamat dan tiada SOP
</t>
  </si>
  <si>
    <t xml:space="preserve">Makmal bersih tetapi tidak selamat dan tiada SOP
</t>
  </si>
  <si>
    <t xml:space="preserve">Makmal bersih dan selamat tetapi tiada SOP
</t>
  </si>
  <si>
    <t xml:space="preserve">Makmal bersih, selamat dan SOP dipamerkan
</t>
  </si>
  <si>
    <t xml:space="preserve">Makmal bersih, selamat, SOP dipamerkan dan dipatuhi
</t>
  </si>
  <si>
    <t>Menyediakan peralatan makmal dalam keadaan baik dan diselenggara</t>
  </si>
  <si>
    <t xml:space="preserve">Semua peralatan boleh digunakan, diselenggara, dilabel dan direkodkan
</t>
  </si>
  <si>
    <t>ZON SEPAKAT: Tiada jadual penyelenggaraan</t>
  </si>
  <si>
    <t>Zon Komited : Kerusi dan Meja Komputer di MM1  rosak</t>
  </si>
  <si>
    <t>D5) BILIK JAHITAN</t>
  </si>
  <si>
    <t>Memastikan ruang bilik jahitan bersih, kemas dan selamat digunakan</t>
  </si>
  <si>
    <t xml:space="preserve">Ruang kotor, berhabuk dan tidak selamat
</t>
  </si>
  <si>
    <t xml:space="preserve">Ruang bersih tetapi tidak kemas dan tidak selamat
</t>
  </si>
  <si>
    <t xml:space="preserve">Ruang bersih dan kemas tetapi tidak selamat
</t>
  </si>
  <si>
    <t xml:space="preserve">Ruang bersih, kemas dan selamat secara asas
</t>
  </si>
  <si>
    <t xml:space="preserve">Ruang bersih, kemasm selamat dan menyokong pembelajaran teknikal
</t>
  </si>
  <si>
    <t>Menyediakan mesin jahit dan peralatan dalam keadaan baik dan disusun kemas</t>
  </si>
  <si>
    <t xml:space="preserve">Mesin dan peralatan rosak dan tidak disusun
</t>
  </si>
  <si>
    <t xml:space="preserve">Sebahagian mesin berfungsi tetapi tidak disusun
</t>
  </si>
  <si>
    <t xml:space="preserve">Mesin dan peralatan berfungsi tetapi tidak lengkap
</t>
  </si>
  <si>
    <t xml:space="preserve">Semua mesin dan peralatan berfungsi dan disusun secara asas
</t>
  </si>
  <si>
    <t xml:space="preserve">Semua mesin dan peralatan berfungsi, lengkap dan disusun mengikut zon kerja
</t>
  </si>
  <si>
    <t>D5) BILIK MASAKAN</t>
  </si>
  <si>
    <t>Memastikan ruang bilik masakan bersih, bebas bau dan selamat digunakan</t>
  </si>
  <si>
    <t xml:space="preserve">Ruang kotor, berbau dan tidak selamat
</t>
  </si>
  <si>
    <t xml:space="preserve">Ruang bersih tetapi berbau dan tidak selamat
</t>
  </si>
  <si>
    <t xml:space="preserve">Ruang bersih dan selamat tetapi berbau
</t>
  </si>
  <si>
    <t xml:space="preserve">Ruang bersih, bebas bau dan selamat secara asas
</t>
  </si>
  <si>
    <t xml:space="preserve">Ruang bersih, bebas bau, selamat dan menyokong pembelajaran kulinari
</t>
  </si>
  <si>
    <t>Menyediakan peralatan memasak dalam keadaan baik dan disusun kemas</t>
  </si>
  <si>
    <t>Semua peralatan berfungsi, lengkap dan disusun mengikut kategori dan keselamatan dapur</t>
  </si>
  <si>
    <t>LAPORAN PENILAIAN AUDIT EKSA 2025 
KOLEJ KOMUNITI HULU LANGAT</t>
  </si>
  <si>
    <t>TARIKH AUDIT: 14 Oktober 2025</t>
  </si>
  <si>
    <t>BIL.</t>
  </si>
  <si>
    <t>KOMPONEN</t>
  </si>
  <si>
    <t>MARKAH PENUH  ZON EFFEKTIF</t>
  </si>
  <si>
    <t>MARKAH ZON EFFEKTIF</t>
  </si>
  <si>
    <t>MARKAH PENUH  ZON KOMITED</t>
  </si>
  <si>
    <t>MARKAH ZON  KOMITED</t>
  </si>
  <si>
    <t>MARKAH PENUH ZON SEPAKAT</t>
  </si>
  <si>
    <t>MARKAH ZON SEPAKAT</t>
  </si>
  <si>
    <t>MARKAH PENUH ZON AKTIF</t>
  </si>
  <si>
    <t>MARKAH ZON AKTIF</t>
  </si>
  <si>
    <t>A.</t>
  </si>
  <si>
    <t xml:space="preserve">KEPERLUAN UTAMA PELAKSANAAN </t>
  </si>
  <si>
    <t>B.</t>
  </si>
  <si>
    <t>RUANG TEMPAT KERJA / PEJABAT</t>
  </si>
  <si>
    <t>C.</t>
  </si>
  <si>
    <t>D.</t>
  </si>
  <si>
    <t xml:space="preserve">JUMLAH MARKAH </t>
  </si>
  <si>
    <t>PERATUS MARKAH ZON</t>
  </si>
  <si>
    <t>PERATUS MARKAH KESELURUHAN</t>
  </si>
  <si>
    <t xml:space="preserve">PENGESAHAN </t>
  </si>
  <si>
    <t>PENGESAHAN</t>
  </si>
  <si>
    <t>KETUA JURUAUDIT</t>
  </si>
  <si>
    <t>WAKIL PENGURUSAN</t>
  </si>
  <si>
    <t>TANDATANGAN:</t>
  </si>
  <si>
    <t>NAMA : MAZWINA HANIM BINTI ABU BAKAR</t>
  </si>
  <si>
    <t xml:space="preserve">NAMA : </t>
  </si>
  <si>
    <t xml:space="preserve">TARIKH: </t>
  </si>
  <si>
    <t>MARKAH AUDIT DALAM EKSA 2025 
KOLEJ KOMUNITI HULU LANGAT</t>
  </si>
  <si>
    <t>% MARKAH ZON EFFEKTIF</t>
  </si>
  <si>
    <t>% MARKAH ZON  KOMITED</t>
  </si>
  <si>
    <t>% MARKAH ZON  SEPAKAT</t>
  </si>
  <si>
    <t>% MARKAH ZON  AKTIF</t>
  </si>
  <si>
    <t>KOMPONEN E</t>
  </si>
  <si>
    <t>KESELAMATAN PERSEKITARAN</t>
  </si>
  <si>
    <t>E1) PELAN TINDAKAN KECEMASAN</t>
  </si>
  <si>
    <t>Menyediakan Pelan Tindakan Kecemasan yang mengandungi: i. Arahan Keselamatan
ii. Latihan pengungsian bangunan, Latihan  Kebakaran (fire-drill) 
iii. Tanda Amaran 
iv. Pelan laluan kecemasan dan tempat berkumpul v. Tanda arah laluan kecemasan.n</t>
  </si>
  <si>
    <t xml:space="preserve">Tiada Pelan Tindakan Kecemasan 
</t>
  </si>
  <si>
    <t xml:space="preserve">Pelan Tindakan Kecemasan mengandungi dua kriteria yang disyorkan
</t>
  </si>
  <si>
    <t xml:space="preserve">Pelan Tindakan Kecemasan mengandungi tiga kriteria yang disyorkan 
</t>
  </si>
  <si>
    <t xml:space="preserve">Pelan Tindakan Kecemasan mengandungi empat kriteria yang disyorkan 
</t>
  </si>
  <si>
    <t xml:space="preserve">Pelan Tindakan Kecemasan mengandungi kesemua kriteria yang disyorkan
</t>
  </si>
  <si>
    <t>Menyediakan lampu kecemasan yang mudah dilihat, berfungsi dengan baik dan tiada halangan.</t>
  </si>
  <si>
    <t xml:space="preserve">Tiada lampu kecemasan
</t>
  </si>
  <si>
    <t xml:space="preserve">
</t>
  </si>
  <si>
    <t xml:space="preserve">Ada lampu kecemasan dan berfungsi tetapi terhalang 
</t>
  </si>
  <si>
    <t xml:space="preserve">Ada lampu kecemasan, berfungsi dan tidak terhalang 
</t>
  </si>
  <si>
    <t>E2) PENDAWAIAN/KABEL</t>
  </si>
  <si>
    <t xml:space="preserve">Memastikan pendawaian elektrik/ telefon/kabel komputer/mesin/ peralatan dalam keadaan kemas, teratur dan selamat. </t>
  </si>
  <si>
    <t xml:space="preserve">Pendawaian dalam keadaan tidak kemas, tidak teratur dan tidak selamat 
</t>
  </si>
  <si>
    <t xml:space="preserve">Sebahagian pendawaian dalam keadaan kemas, teratur dan selamat 
</t>
  </si>
  <si>
    <t xml:space="preserve">Semua pendawaian dalam keadaan kemas, teratur dan selamat 
</t>
  </si>
  <si>
    <t>E3) PERALATAN PENCEGAHAN KEBAKARAN</t>
  </si>
  <si>
    <t xml:space="preserve">Memastikan alat pemadam api menepati kriteria yang berikut: 
i. Penyelengaraan secara berkala
ii. Mempunyai tatacara penggunaan 
iii. Berkeadaan bersih 
iv. Diletakkan di tempat yang sesuai dan mudah dicapai </t>
  </si>
  <si>
    <t xml:space="preserve">Tiada alat pemadam api disediakan 
</t>
  </si>
  <si>
    <t xml:space="preserve">Alat pemadam api menepati sebahagian kriteria yang disyorkan
</t>
  </si>
  <si>
    <t xml:space="preserve">Alat pemadam api menepati kesemua kriteria yang disyorkan </t>
  </si>
  <si>
    <t>E4) LALUAN/TANGGA KECEMASAN</t>
  </si>
  <si>
    <t xml:space="preserve">Memastikan tiada halangan di laluan/tangga/pintu kecemasan. </t>
  </si>
  <si>
    <t xml:space="preserve">Terdapat halangan di laluan/tangga kecemasan 
</t>
  </si>
  <si>
    <t xml:space="preserve">Tiada halangan di laluan/tangga kecemasan 
</t>
  </si>
  <si>
    <t>E5) KUNCI</t>
  </si>
  <si>
    <t>Memastikan anak kunci dilabelkan/ditandai dan memenuhi tatacara keselamatan.</t>
  </si>
  <si>
    <t xml:space="preserve">Anak kunci tidak dilabelkan/ ditandai 
</t>
  </si>
  <si>
    <t xml:space="preserve">Anak kunci dilabelkan/ ditandai tetapi tidak memenuhi tatacara keselamatan </t>
  </si>
  <si>
    <t xml:space="preserve">Anak kunci dilabelkan/ ditandai dan memenuhi tatacara keselamatan </t>
  </si>
  <si>
    <t xml:space="preserve">Memastikan anak kunci disimpan di dalam ruang penyimpanan yang selamat. </t>
  </si>
  <si>
    <t xml:space="preserve">Anak kunci tidak disimpan di dalam peti keselamatan 
</t>
  </si>
  <si>
    <t xml:space="preserve">Anak kunci disimpan di dalam peti keselamatan 
</t>
  </si>
  <si>
    <t>Memastikan senarai anak kunci disimpan dengan selamat oleh pegawai bertanggungjawab.</t>
  </si>
  <si>
    <t xml:space="preserve">Senarai anak kunci tidak disimpan 
</t>
  </si>
  <si>
    <t xml:space="preserve">Senarai anak kunci disimpan dengan selamat 
</t>
  </si>
  <si>
    <t xml:space="preserve">Menyediakan buku log peminjaman kunci dan dikemas kini. </t>
  </si>
  <si>
    <t xml:space="preserve">Buku log peminjaman kunci tidak disediakan 
</t>
  </si>
  <si>
    <t>Buku log peminjaman kunci disediakan tetapi tidak dikemas kini</t>
  </si>
  <si>
    <t xml:space="preserve">Buku log peminjaman kunci disediakan dan dikemas kini </t>
  </si>
  <si>
    <t xml:space="preserve">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</si>
</sst>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1"/>
      <color theme="1"/>
      <name val="Aptos Narrow"/>
      <scheme val="minor"/>
    </font>
    <font>
      <b/>
      <sz val="15"/>
      <color theme="1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4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</font>
    <font>
      <b/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name val="Aptos Narrow"/>
    </font>
    <font>
      <sz val="12"/>
      <color theme="1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F1CEEE"/>
        <bgColor rgb="FFF1CEEE"/>
      </patternFill>
    </fill>
    <fill>
      <patternFill patternType="solid">
        <fgColor rgb="FFD76DCC"/>
        <bgColor rgb="FFD76DCC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CDCD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 style="thick">
        <color theme="5"/>
      </bottom>
      <diagonal/>
    </border>
    <border>
      <left/>
      <right/>
      <top style="medium">
        <color theme="5"/>
      </top>
      <bottom style="thick">
        <color theme="5"/>
      </bottom>
      <diagonal/>
    </border>
    <border>
      <left style="medium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 style="medium">
        <color theme="5"/>
      </right>
      <top style="thick">
        <color theme="5"/>
      </top>
      <bottom style="thick">
        <color theme="5"/>
      </bottom>
      <diagonal/>
    </border>
    <border>
      <left style="medium">
        <color theme="5"/>
      </left>
      <right/>
      <top style="thick">
        <color theme="5"/>
      </top>
      <bottom style="thick">
        <color theme="5"/>
      </bottom>
      <diagonal/>
    </border>
    <border>
      <left/>
      <right style="medium">
        <color theme="5"/>
      </right>
      <top style="thick">
        <color theme="5"/>
      </top>
      <bottom style="thick">
        <color theme="5"/>
      </bottom>
      <diagonal/>
    </border>
    <border>
      <left style="medium">
        <color theme="5"/>
      </left>
      <right style="thick">
        <color theme="5"/>
      </right>
      <top style="thick">
        <color theme="5"/>
      </top>
      <bottom style="medium">
        <color theme="5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medium">
        <color theme="5"/>
      </bottom>
      <diagonal/>
    </border>
    <border>
      <left style="thick">
        <color theme="5"/>
      </left>
      <right style="medium">
        <color theme="5"/>
      </right>
      <top style="thick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vertical="top" wrapText="1"/>
    </xf>
    <xf numFmtId="0" fontId="5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5" fillId="3" borderId="8" xfId="0" applyFont="1" applyFill="1" applyBorder="1" applyAlignment="1">
      <alignment vertical="top" wrapText="1"/>
    </xf>
    <xf numFmtId="0" fontId="7" fillId="0" borderId="0" xfId="0" applyFont="1"/>
    <xf numFmtId="0" fontId="4" fillId="6" borderId="13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vertical="top" wrapText="1"/>
    </xf>
    <xf numFmtId="0" fontId="5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wrapText="1"/>
    </xf>
    <xf numFmtId="0" fontId="4" fillId="0" borderId="17" xfId="0" applyFont="1" applyBorder="1"/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9" fillId="0" borderId="0" xfId="0" applyFont="1"/>
    <xf numFmtId="0" fontId="12" fillId="0" borderId="21" xfId="0" applyFont="1" applyBorder="1"/>
    <xf numFmtId="0" fontId="12" fillId="0" borderId="0" xfId="0" applyFont="1"/>
    <xf numFmtId="0" fontId="12" fillId="0" borderId="22" xfId="0" applyFont="1" applyBorder="1"/>
    <xf numFmtId="0" fontId="4" fillId="0" borderId="0" xfId="0" applyFont="1"/>
    <xf numFmtId="0" fontId="13" fillId="0" borderId="21" xfId="0" applyFont="1" applyBorder="1"/>
    <xf numFmtId="0" fontId="14" fillId="0" borderId="21" xfId="0" applyFont="1" applyBorder="1"/>
    <xf numFmtId="0" fontId="14" fillId="0" borderId="0" xfId="0" applyFont="1"/>
    <xf numFmtId="0" fontId="14" fillId="0" borderId="22" xfId="0" applyFont="1" applyBorder="1"/>
    <xf numFmtId="0" fontId="10" fillId="10" borderId="27" xfId="0" applyFont="1" applyFill="1" applyBorder="1" applyAlignment="1">
      <alignment horizontal="center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horizontal="center" vertical="center" wrapText="1"/>
    </xf>
    <xf numFmtId="0" fontId="10" fillId="14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0" fontId="10" fillId="11" borderId="27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5" fillId="13" borderId="27" xfId="0" applyFont="1" applyFill="1" applyBorder="1" applyAlignment="1">
      <alignment horizontal="center" vertical="center"/>
    </xf>
    <xf numFmtId="0" fontId="10" fillId="14" borderId="28" xfId="0" applyFont="1" applyFill="1" applyBorder="1" applyAlignment="1">
      <alignment horizontal="center" vertical="center"/>
    </xf>
    <xf numFmtId="0" fontId="10" fillId="13" borderId="27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0" fontId="13" fillId="13" borderId="27" xfId="0" applyFont="1" applyFill="1" applyBorder="1" applyAlignment="1">
      <alignment horizontal="center" vertical="center" wrapText="1"/>
    </xf>
    <xf numFmtId="0" fontId="13" fillId="14" borderId="28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/>
    </xf>
    <xf numFmtId="10" fontId="10" fillId="11" borderId="27" xfId="0" applyNumberFormat="1" applyFont="1" applyFill="1" applyBorder="1" applyAlignment="1">
      <alignment horizontal="center" vertical="center"/>
    </xf>
    <xf numFmtId="10" fontId="10" fillId="12" borderId="27" xfId="0" applyNumberFormat="1" applyFont="1" applyFill="1" applyBorder="1" applyAlignment="1">
      <alignment horizontal="center" vertical="center"/>
    </xf>
    <xf numFmtId="10" fontId="10" fillId="13" borderId="27" xfId="0" applyNumberFormat="1" applyFont="1" applyFill="1" applyBorder="1" applyAlignment="1">
      <alignment horizontal="center" vertical="center"/>
    </xf>
    <xf numFmtId="10" fontId="10" fillId="14" borderId="28" xfId="0" applyNumberFormat="1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22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22" xfId="0" applyFont="1" applyBorder="1" applyAlignment="1">
      <alignment vertical="center"/>
    </xf>
    <xf numFmtId="0" fontId="10" fillId="0" borderId="21" xfId="0" applyFont="1" applyBorder="1"/>
    <xf numFmtId="0" fontId="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1" xfId="0" applyFont="1" applyBorder="1"/>
    <xf numFmtId="0" fontId="5" fillId="0" borderId="0" xfId="0" applyFont="1"/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/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0" fontId="10" fillId="0" borderId="0" xfId="0" applyFont="1" applyAlignment="1">
      <alignment horizontal="center"/>
    </xf>
    <xf numFmtId="0" fontId="10" fillId="9" borderId="40" xfId="0" applyFont="1" applyFill="1" applyBorder="1" applyAlignment="1">
      <alignment horizontal="center" vertical="center"/>
    </xf>
    <xf numFmtId="0" fontId="10" fillId="9" borderId="41" xfId="0" applyFont="1" applyFill="1" applyBorder="1" applyAlignment="1">
      <alignment horizontal="center" vertical="center"/>
    </xf>
    <xf numFmtId="0" fontId="10" fillId="10" borderId="41" xfId="0" applyFont="1" applyFill="1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wrapText="1"/>
    </xf>
    <xf numFmtId="0" fontId="10" fillId="12" borderId="41" xfId="0" applyFont="1" applyFill="1" applyBorder="1" applyAlignment="1">
      <alignment horizontal="center" vertical="center" wrapText="1"/>
    </xf>
    <xf numFmtId="0" fontId="10" fillId="15" borderId="41" xfId="0" applyFont="1" applyFill="1" applyBorder="1" applyAlignment="1">
      <alignment horizontal="center" vertical="center" wrapText="1"/>
    </xf>
    <xf numFmtId="0" fontId="10" fillId="13" borderId="41" xfId="0" applyFont="1" applyFill="1" applyBorder="1" applyAlignment="1">
      <alignment horizontal="center" vertical="center" wrapText="1"/>
    </xf>
    <xf numFmtId="0" fontId="10" fillId="14" borderId="41" xfId="0" applyFont="1" applyFill="1" applyBorder="1" applyAlignment="1">
      <alignment horizontal="center" vertical="center" wrapText="1"/>
    </xf>
    <xf numFmtId="0" fontId="10" fillId="14" borderId="42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left" vertical="center"/>
    </xf>
    <xf numFmtId="10" fontId="10" fillId="15" borderId="27" xfId="0" applyNumberFormat="1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3" fillId="14" borderId="27" xfId="0" applyFont="1" applyFill="1" applyBorder="1" applyAlignment="1">
      <alignment horizontal="center" vertical="center" wrapText="1"/>
    </xf>
    <xf numFmtId="10" fontId="10" fillId="14" borderId="27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18" borderId="4" xfId="0" applyFill="1" applyBorder="1" applyAlignment="1">
      <alignment horizontal="center" vertical="center" wrapText="1"/>
    </xf>
    <xf numFmtId="0" fontId="0" fillId="18" borderId="4" xfId="0" applyFill="1" applyBorder="1" applyAlignment="1">
      <alignment vertical="top" wrapText="1"/>
    </xf>
    <xf numFmtId="0" fontId="3" fillId="2" borderId="54" xfId="0" applyFont="1" applyFill="1" applyBorder="1" applyAlignment="1">
      <alignment horizontal="center" vertical="center" wrapText="1"/>
    </xf>
    <xf numFmtId="0" fontId="0" fillId="18" borderId="53" xfId="0" applyFill="1" applyBorder="1" applyAlignment="1">
      <alignment horizontal="center" vertical="top" wrapText="1"/>
    </xf>
    <xf numFmtId="0" fontId="0" fillId="18" borderId="54" xfId="0" applyFill="1" applyBorder="1" applyAlignment="1">
      <alignment vertical="top" wrapText="1"/>
    </xf>
    <xf numFmtId="0" fontId="0" fillId="18" borderId="57" xfId="0" applyFill="1" applyBorder="1" applyAlignment="1">
      <alignment horizontal="center" vertical="top" wrapText="1"/>
    </xf>
    <xf numFmtId="0" fontId="0" fillId="18" borderId="58" xfId="0" applyFill="1" applyBorder="1" applyAlignment="1">
      <alignment vertical="top" wrapText="1"/>
    </xf>
    <xf numFmtId="0" fontId="0" fillId="18" borderId="59" xfId="0" applyFill="1" applyBorder="1" applyAlignment="1">
      <alignment vertical="top" wrapText="1"/>
    </xf>
    <xf numFmtId="0" fontId="5" fillId="10" borderId="30" xfId="0" applyFont="1" applyFill="1" applyBorder="1" applyAlignment="1">
      <alignment horizontal="center" vertical="center"/>
    </xf>
    <xf numFmtId="0" fontId="10" fillId="9" borderId="61" xfId="0" applyFont="1" applyFill="1" applyBorder="1" applyAlignment="1">
      <alignment horizontal="center" vertical="center"/>
    </xf>
    <xf numFmtId="0" fontId="10" fillId="9" borderId="62" xfId="0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0" fontId="13" fillId="9" borderId="3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6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/>
    <xf numFmtId="0" fontId="3" fillId="5" borderId="5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3" fillId="8" borderId="14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6" fillId="0" borderId="14" xfId="0" applyFont="1" applyBorder="1" applyAlignment="1">
      <alignment horizontal="center"/>
    </xf>
    <xf numFmtId="0" fontId="1" fillId="7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16" fillId="18" borderId="55" xfId="0" applyFont="1" applyFill="1" applyBorder="1" applyAlignment="1">
      <alignment horizontal="left" vertical="center" wrapText="1"/>
    </xf>
    <xf numFmtId="0" fontId="16" fillId="18" borderId="2" xfId="0" applyFont="1" applyFill="1" applyBorder="1" applyAlignment="1">
      <alignment horizontal="left" vertical="center" wrapText="1"/>
    </xf>
    <xf numFmtId="0" fontId="16" fillId="18" borderId="56" xfId="0" applyFont="1" applyFill="1" applyBorder="1" applyAlignment="1">
      <alignment horizontal="left" vertical="center" wrapText="1"/>
    </xf>
    <xf numFmtId="0" fontId="17" fillId="16" borderId="51" xfId="0" applyFont="1" applyFill="1" applyBorder="1" applyAlignment="1">
      <alignment horizontal="center" vertical="center" wrapText="1"/>
    </xf>
    <xf numFmtId="0" fontId="17" fillId="16" borderId="52" xfId="0" applyFont="1" applyFill="1" applyBorder="1" applyAlignment="1">
      <alignment horizontal="center" vertical="center" wrapText="1"/>
    </xf>
    <xf numFmtId="0" fontId="17" fillId="16" borderId="48" xfId="0" applyFont="1" applyFill="1" applyBorder="1" applyAlignment="1">
      <alignment horizontal="center" vertical="center" wrapText="1"/>
    </xf>
    <xf numFmtId="0" fontId="17" fillId="16" borderId="49" xfId="0" applyFont="1" applyFill="1" applyBorder="1" applyAlignment="1">
      <alignment horizontal="center" vertical="center" wrapText="1"/>
    </xf>
    <xf numFmtId="0" fontId="17" fillId="16" borderId="50" xfId="0" applyFont="1" applyFill="1" applyBorder="1" applyAlignment="1">
      <alignment horizontal="center" vertical="center" wrapText="1"/>
    </xf>
    <xf numFmtId="0" fontId="16" fillId="17" borderId="53" xfId="0" applyFont="1" applyFill="1" applyBorder="1" applyAlignment="1">
      <alignment vertical="center" wrapText="1"/>
    </xf>
    <xf numFmtId="0" fontId="16" fillId="17" borderId="4" xfId="0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3" fillId="0" borderId="18" xfId="0" applyFont="1" applyBorder="1" applyAlignment="1">
      <alignment horizontal="right" vertical="center"/>
    </xf>
    <xf numFmtId="0" fontId="18" fillId="0" borderId="19" xfId="0" applyFont="1" applyBorder="1" applyAlignment="1">
      <alignment horizontal="right"/>
    </xf>
    <xf numFmtId="0" fontId="18" fillId="0" borderId="20" xfId="0" applyFont="1" applyBorder="1" applyAlignment="1">
      <alignment horizontal="right"/>
    </xf>
    <xf numFmtId="0" fontId="18" fillId="0" borderId="21" xfId="0" applyFont="1" applyBorder="1" applyAlignment="1">
      <alignment horizontal="right"/>
    </xf>
    <xf numFmtId="0" fontId="19" fillId="0" borderId="0" xfId="0" applyFont="1" applyAlignment="1">
      <alignment horizontal="right"/>
    </xf>
    <xf numFmtId="0" fontId="18" fillId="0" borderId="22" xfId="0" applyFont="1" applyBorder="1" applyAlignment="1">
      <alignment horizontal="right"/>
    </xf>
    <xf numFmtId="0" fontId="18" fillId="0" borderId="37" xfId="0" applyFont="1" applyBorder="1" applyAlignment="1">
      <alignment horizontal="right"/>
    </xf>
    <xf numFmtId="0" fontId="18" fillId="0" borderId="38" xfId="0" applyFont="1" applyBorder="1" applyAlignment="1">
      <alignment horizontal="right"/>
    </xf>
    <xf numFmtId="0" fontId="18" fillId="0" borderId="39" xfId="0" applyFont="1" applyBorder="1" applyAlignment="1">
      <alignment horizontal="right"/>
    </xf>
    <xf numFmtId="0" fontId="10" fillId="9" borderId="29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10" fillId="9" borderId="43" xfId="0" applyFont="1" applyFill="1" applyBorder="1" applyAlignment="1">
      <alignment horizontal="center" vertical="center" wrapText="1"/>
    </xf>
    <xf numFmtId="0" fontId="2" fillId="0" borderId="44" xfId="0" applyFont="1" applyBorder="1"/>
    <xf numFmtId="10" fontId="11" fillId="10" borderId="45" xfId="0" applyNumberFormat="1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1" fillId="0" borderId="18" xfId="0" applyFont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10" fillId="9" borderId="60" xfId="0" applyFont="1" applyFill="1" applyBorder="1" applyAlignment="1">
      <alignment horizontal="center" vertical="center" wrapText="1"/>
    </xf>
    <xf numFmtId="0" fontId="2" fillId="0" borderId="60" xfId="0" applyFont="1" applyBorder="1"/>
    <xf numFmtId="0" fontId="10" fillId="9" borderId="37" xfId="0" applyFont="1" applyFill="1" applyBorder="1" applyAlignment="1">
      <alignment horizontal="center" vertical="center" wrapText="1"/>
    </xf>
    <xf numFmtId="0" fontId="2" fillId="0" borderId="63" xfId="0" applyFont="1" applyBorder="1"/>
    <xf numFmtId="10" fontId="11" fillId="10" borderId="31" xfId="0" applyNumberFormat="1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25400</xdr:colOff>
      <xdr:row>1</xdr:row>
      <xdr:rowOff>92075</xdr:rowOff>
    </xdr:from>
    <xdr:ext cx="774700" cy="784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08100" y="282575"/>
          <a:ext cx="774700" cy="784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66675</xdr:rowOff>
    </xdr:from>
    <xdr:ext cx="857250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3:L1000"/>
  <sheetViews>
    <sheetView topLeftCell="B6" workbookViewId="0">
      <selection activeCell="I6" sqref="I6:L12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26" width="8.5" customWidth="1"/>
  </cols>
  <sheetData>
    <row r="3" spans="1:12" ht="21" customHeight="1">
      <c r="B3" s="145" t="s">
        <v>0</v>
      </c>
      <c r="C3" s="142"/>
      <c r="D3" s="142"/>
      <c r="E3" s="142"/>
      <c r="F3" s="142"/>
      <c r="G3" s="142"/>
      <c r="H3" s="143"/>
      <c r="I3" s="146" t="s">
        <v>1</v>
      </c>
      <c r="J3" s="142"/>
      <c r="K3" s="142"/>
      <c r="L3" s="143"/>
    </row>
    <row r="4" spans="1:12" ht="30" customHeight="1">
      <c r="B4" s="147" t="s">
        <v>2</v>
      </c>
      <c r="C4" s="143"/>
      <c r="D4" s="1">
        <v>1</v>
      </c>
      <c r="E4" s="1">
        <v>2</v>
      </c>
      <c r="F4" s="1">
        <v>3</v>
      </c>
      <c r="G4" s="1">
        <v>4</v>
      </c>
      <c r="H4" s="1">
        <v>5</v>
      </c>
      <c r="I4" s="2" t="s">
        <v>3</v>
      </c>
      <c r="J4" s="2" t="s">
        <v>4</v>
      </c>
      <c r="K4" s="2" t="s">
        <v>5</v>
      </c>
      <c r="L4" s="2" t="s">
        <v>6</v>
      </c>
    </row>
    <row r="5" spans="1:12" ht="30" customHeight="1">
      <c r="B5" s="141" t="s">
        <v>7</v>
      </c>
      <c r="C5" s="142"/>
      <c r="D5" s="142"/>
      <c r="E5" s="142"/>
      <c r="F5" s="142"/>
      <c r="G5" s="142"/>
      <c r="H5" s="142"/>
      <c r="I5" s="142"/>
      <c r="J5" s="142"/>
      <c r="K5" s="142"/>
      <c r="L5" s="143"/>
    </row>
    <row r="6" spans="1:12" ht="126" customHeight="1">
      <c r="A6" s="3"/>
      <c r="B6" s="4">
        <v>1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6">
        <v>5</v>
      </c>
      <c r="J6" s="6">
        <v>5</v>
      </c>
      <c r="K6" s="6">
        <v>5</v>
      </c>
      <c r="L6" s="6">
        <v>5</v>
      </c>
    </row>
    <row r="7" spans="1:12" ht="108.75" customHeight="1">
      <c r="A7" s="3"/>
      <c r="B7" s="4">
        <v>2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  <c r="I7" s="6">
        <v>5</v>
      </c>
      <c r="J7" s="6">
        <v>5</v>
      </c>
      <c r="K7" s="6">
        <v>5</v>
      </c>
      <c r="L7" s="6">
        <v>5</v>
      </c>
    </row>
    <row r="8" spans="1:12" ht="95.25" customHeight="1">
      <c r="A8" s="3"/>
      <c r="B8" s="4">
        <v>3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6">
        <v>5</v>
      </c>
      <c r="J8" s="6">
        <v>5</v>
      </c>
      <c r="K8" s="6">
        <v>5</v>
      </c>
      <c r="L8" s="6">
        <v>5</v>
      </c>
    </row>
    <row r="9" spans="1:12" ht="96" customHeight="1">
      <c r="A9" s="3"/>
      <c r="B9" s="4">
        <v>4</v>
      </c>
      <c r="C9" s="5" t="s">
        <v>26</v>
      </c>
      <c r="D9" s="5" t="s">
        <v>27</v>
      </c>
      <c r="E9" s="5" t="s">
        <v>28</v>
      </c>
      <c r="F9" s="5" t="s">
        <v>29</v>
      </c>
      <c r="G9" s="5" t="s">
        <v>30</v>
      </c>
      <c r="H9" s="5" t="s">
        <v>31</v>
      </c>
      <c r="I9" s="6">
        <v>4</v>
      </c>
      <c r="J9" s="6">
        <v>4</v>
      </c>
      <c r="K9" s="6">
        <v>4</v>
      </c>
      <c r="L9" s="6">
        <v>4</v>
      </c>
    </row>
    <row r="10" spans="1:12" ht="96">
      <c r="A10" s="3"/>
      <c r="B10" s="4">
        <v>5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5" t="s">
        <v>37</v>
      </c>
      <c r="I10" s="6">
        <v>3</v>
      </c>
      <c r="J10" s="6">
        <v>3</v>
      </c>
      <c r="K10" s="6">
        <v>3</v>
      </c>
      <c r="L10" s="6">
        <v>3</v>
      </c>
    </row>
    <row r="11" spans="1:12" ht="192">
      <c r="A11" s="3"/>
      <c r="B11" s="4">
        <v>6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42</v>
      </c>
      <c r="H11" s="5" t="s">
        <v>43</v>
      </c>
      <c r="I11" s="6">
        <v>5</v>
      </c>
      <c r="J11" s="6">
        <v>5</v>
      </c>
      <c r="K11" s="6">
        <v>5</v>
      </c>
      <c r="L11" s="6">
        <v>5</v>
      </c>
    </row>
    <row r="12" spans="1:12" ht="96">
      <c r="A12" s="3"/>
      <c r="B12" s="4">
        <v>7</v>
      </c>
      <c r="C12" s="5" t="s">
        <v>44</v>
      </c>
      <c r="D12" s="5" t="s">
        <v>45</v>
      </c>
      <c r="E12" s="5" t="s">
        <v>46</v>
      </c>
      <c r="F12" s="5" t="s">
        <v>47</v>
      </c>
      <c r="G12" s="5" t="s">
        <v>48</v>
      </c>
      <c r="H12" s="5" t="s">
        <v>49</v>
      </c>
      <c r="I12" s="6">
        <v>3</v>
      </c>
      <c r="J12" s="6">
        <v>3</v>
      </c>
      <c r="K12" s="6">
        <v>3</v>
      </c>
      <c r="L12" s="6">
        <v>3</v>
      </c>
    </row>
    <row r="13" spans="1:12" ht="30" customHeight="1">
      <c r="B13" s="141" t="s">
        <v>50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3"/>
    </row>
    <row r="14" spans="1:12" ht="128">
      <c r="A14" s="3"/>
      <c r="B14" s="4">
        <v>8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  <c r="H14" s="5" t="s">
        <v>56</v>
      </c>
      <c r="I14" s="6">
        <v>5</v>
      </c>
      <c r="J14" s="6">
        <v>5</v>
      </c>
      <c r="K14" s="6">
        <v>5</v>
      </c>
      <c r="L14" s="6">
        <v>5</v>
      </c>
    </row>
    <row r="15" spans="1:12" ht="144">
      <c r="A15" s="3"/>
      <c r="B15" s="4">
        <v>9</v>
      </c>
      <c r="C15" s="5" t="s">
        <v>57</v>
      </c>
      <c r="D15" s="5" t="s">
        <v>58</v>
      </c>
      <c r="E15" s="5" t="s">
        <v>59</v>
      </c>
      <c r="F15" s="5" t="s">
        <v>60</v>
      </c>
      <c r="G15" s="5" t="s">
        <v>61</v>
      </c>
      <c r="H15" s="5" t="s">
        <v>62</v>
      </c>
      <c r="I15" s="6">
        <v>3</v>
      </c>
      <c r="J15" s="6">
        <v>3</v>
      </c>
      <c r="K15" s="6">
        <v>3</v>
      </c>
      <c r="L15" s="6">
        <v>3</v>
      </c>
    </row>
    <row r="16" spans="1:12" ht="30" customHeight="1">
      <c r="B16" s="141" t="s">
        <v>63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3"/>
    </row>
    <row r="17" spans="2:12" ht="112">
      <c r="B17" s="4">
        <v>10</v>
      </c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I17" s="6">
        <v>5</v>
      </c>
      <c r="J17" s="6">
        <v>5</v>
      </c>
      <c r="K17" s="6">
        <v>5</v>
      </c>
      <c r="L17" s="6">
        <v>5</v>
      </c>
    </row>
    <row r="18" spans="2:12" ht="112">
      <c r="B18" s="4">
        <v>11</v>
      </c>
      <c r="C18" s="5" t="s">
        <v>70</v>
      </c>
      <c r="D18" s="5" t="s">
        <v>71</v>
      </c>
      <c r="E18" s="5" t="s">
        <v>72</v>
      </c>
      <c r="F18" s="5" t="s">
        <v>73</v>
      </c>
      <c r="G18" s="5" t="s">
        <v>74</v>
      </c>
      <c r="H18" s="5" t="s">
        <v>75</v>
      </c>
      <c r="I18" s="6">
        <v>5</v>
      </c>
      <c r="J18" s="6">
        <v>5</v>
      </c>
      <c r="K18" s="6">
        <v>5</v>
      </c>
      <c r="L18" s="6">
        <v>5</v>
      </c>
    </row>
    <row r="19" spans="2:12" ht="112">
      <c r="B19" s="4">
        <v>12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80</v>
      </c>
      <c r="H19" s="5" t="s">
        <v>81</v>
      </c>
      <c r="I19" s="6">
        <v>1</v>
      </c>
      <c r="J19" s="6">
        <v>1</v>
      </c>
      <c r="K19" s="6">
        <v>1</v>
      </c>
      <c r="L19" s="6">
        <v>1</v>
      </c>
    </row>
    <row r="20" spans="2:12" ht="30" customHeight="1">
      <c r="B20" s="147" t="s">
        <v>82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3"/>
    </row>
    <row r="21" spans="2:12" ht="15.75" customHeight="1">
      <c r="B21" s="4">
        <v>13</v>
      </c>
      <c r="C21" s="5" t="s">
        <v>83</v>
      </c>
      <c r="D21" s="5" t="s">
        <v>84</v>
      </c>
      <c r="E21" s="5" t="s">
        <v>85</v>
      </c>
      <c r="F21" s="5" t="s">
        <v>86</v>
      </c>
      <c r="G21" s="5" t="s">
        <v>87</v>
      </c>
      <c r="H21" s="5" t="s">
        <v>88</v>
      </c>
      <c r="I21" s="6">
        <v>1</v>
      </c>
      <c r="J21" s="6">
        <v>1</v>
      </c>
      <c r="K21" s="6">
        <v>1</v>
      </c>
      <c r="L21" s="6">
        <v>1</v>
      </c>
    </row>
    <row r="22" spans="2:12" ht="15.75" customHeight="1">
      <c r="B22" s="4">
        <v>14</v>
      </c>
      <c r="C22" s="5" t="s">
        <v>89</v>
      </c>
      <c r="D22" s="5" t="s">
        <v>90</v>
      </c>
      <c r="E22" s="5" t="s">
        <v>91</v>
      </c>
      <c r="F22" s="5" t="s">
        <v>92</v>
      </c>
      <c r="G22" s="5" t="s">
        <v>93</v>
      </c>
      <c r="H22" s="5" t="s">
        <v>94</v>
      </c>
      <c r="I22" s="6">
        <v>1</v>
      </c>
      <c r="J22" s="6">
        <v>1</v>
      </c>
      <c r="K22" s="6">
        <v>1</v>
      </c>
      <c r="L22" s="6">
        <v>1</v>
      </c>
    </row>
    <row r="23" spans="2:12" ht="30" customHeight="1">
      <c r="B23" s="141" t="s">
        <v>95</v>
      </c>
      <c r="C23" s="142"/>
      <c r="D23" s="142"/>
      <c r="E23" s="142"/>
      <c r="F23" s="142"/>
      <c r="G23" s="142"/>
      <c r="H23" s="142"/>
      <c r="I23" s="142"/>
      <c r="J23" s="142"/>
      <c r="K23" s="142"/>
      <c r="L23" s="143"/>
    </row>
    <row r="24" spans="2:12" ht="15.75" customHeight="1">
      <c r="B24" s="4">
        <v>15</v>
      </c>
      <c r="C24" s="5" t="s">
        <v>96</v>
      </c>
      <c r="D24" s="5" t="s">
        <v>97</v>
      </c>
      <c r="E24" s="5" t="s">
        <v>98</v>
      </c>
      <c r="F24" s="5" t="s">
        <v>99</v>
      </c>
      <c r="G24" s="5" t="s">
        <v>100</v>
      </c>
      <c r="H24" s="5" t="s">
        <v>101</v>
      </c>
      <c r="I24" s="6">
        <v>3</v>
      </c>
      <c r="J24" s="6">
        <v>3</v>
      </c>
      <c r="K24" s="6">
        <v>3</v>
      </c>
      <c r="L24" s="6">
        <v>3</v>
      </c>
    </row>
    <row r="25" spans="2:12" ht="15.75" customHeight="1">
      <c r="B25" s="4">
        <v>16</v>
      </c>
      <c r="C25" s="5" t="s">
        <v>102</v>
      </c>
      <c r="D25" s="5" t="s">
        <v>103</v>
      </c>
      <c r="E25" s="5" t="s">
        <v>104</v>
      </c>
      <c r="F25" s="5" t="s">
        <v>105</v>
      </c>
      <c r="G25" s="5" t="s">
        <v>106</v>
      </c>
      <c r="H25" s="5" t="s">
        <v>107</v>
      </c>
      <c r="I25" s="6">
        <v>4</v>
      </c>
      <c r="J25" s="6">
        <v>4</v>
      </c>
      <c r="K25" s="6">
        <v>4</v>
      </c>
      <c r="L25" s="6">
        <v>4</v>
      </c>
    </row>
    <row r="26" spans="2:12" ht="15.75" customHeight="1">
      <c r="B26" s="144" t="s">
        <v>108</v>
      </c>
      <c r="C26" s="142"/>
      <c r="D26" s="142"/>
      <c r="E26" s="142"/>
      <c r="F26" s="142"/>
      <c r="G26" s="142"/>
      <c r="H26" s="143"/>
      <c r="I26" s="7">
        <f t="shared" ref="I26:L26" si="0">SUM(I6:I12,I14:I15,I17:I19,I21:I22,I24:I25)</f>
        <v>58</v>
      </c>
      <c r="J26" s="7">
        <f t="shared" si="0"/>
        <v>58</v>
      </c>
      <c r="K26" s="7">
        <f t="shared" si="0"/>
        <v>58</v>
      </c>
      <c r="L26" s="7">
        <f t="shared" si="0"/>
        <v>58</v>
      </c>
    </row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3:L23"/>
    <mergeCell ref="B26:H26"/>
    <mergeCell ref="B3:H3"/>
    <mergeCell ref="I3:L3"/>
    <mergeCell ref="B4:C4"/>
    <mergeCell ref="B5:L5"/>
    <mergeCell ref="B13:L13"/>
    <mergeCell ref="B16:L16"/>
    <mergeCell ref="B20:L20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M1000"/>
  <sheetViews>
    <sheetView topLeftCell="B10" workbookViewId="0">
      <selection activeCell="C14" sqref="C14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9" width="10.6640625" customWidth="1"/>
    <col min="10" max="10" width="9.6640625" customWidth="1"/>
    <col min="11" max="11" width="10.33203125" customWidth="1"/>
    <col min="12" max="12" width="8.5" customWidth="1"/>
    <col min="13" max="13" width="18.6640625" customWidth="1"/>
    <col min="14" max="26" width="8.5" customWidth="1"/>
  </cols>
  <sheetData>
    <row r="1" spans="1:13">
      <c r="I1" s="8"/>
      <c r="J1" s="9"/>
    </row>
    <row r="2" spans="1:13">
      <c r="I2" s="8"/>
      <c r="J2" s="9"/>
    </row>
    <row r="3" spans="1:13" ht="21" customHeight="1">
      <c r="B3" s="152" t="s">
        <v>109</v>
      </c>
      <c r="C3" s="149"/>
      <c r="D3" s="149"/>
      <c r="E3" s="149"/>
      <c r="F3" s="149"/>
      <c r="G3" s="149"/>
      <c r="H3" s="150"/>
      <c r="I3" s="153" t="s">
        <v>1</v>
      </c>
      <c r="J3" s="149"/>
      <c r="K3" s="149"/>
      <c r="L3" s="150"/>
      <c r="M3" s="154" t="s">
        <v>110</v>
      </c>
    </row>
    <row r="4" spans="1:13" ht="30" customHeight="1">
      <c r="B4" s="156" t="s">
        <v>111</v>
      </c>
      <c r="C4" s="150"/>
      <c r="D4" s="10">
        <v>1</v>
      </c>
      <c r="E4" s="10">
        <v>2</v>
      </c>
      <c r="F4" s="10">
        <v>3</v>
      </c>
      <c r="G4" s="10">
        <v>4</v>
      </c>
      <c r="H4" s="10">
        <v>5</v>
      </c>
      <c r="I4" s="11" t="s">
        <v>3</v>
      </c>
      <c r="J4" s="11" t="s">
        <v>4</v>
      </c>
      <c r="K4" s="11" t="s">
        <v>5</v>
      </c>
      <c r="L4" s="11" t="s">
        <v>6</v>
      </c>
      <c r="M4" s="155"/>
    </row>
    <row r="5" spans="1:13" ht="30" customHeight="1">
      <c r="B5" s="148" t="s">
        <v>112</v>
      </c>
      <c r="C5" s="149"/>
      <c r="D5" s="149"/>
      <c r="E5" s="149"/>
      <c r="F5" s="149"/>
      <c r="G5" s="149"/>
      <c r="H5" s="149"/>
      <c r="I5" s="149"/>
      <c r="J5" s="149"/>
      <c r="K5" s="149"/>
      <c r="L5" s="150"/>
      <c r="M5" s="155"/>
    </row>
    <row r="6" spans="1:13" ht="30" customHeight="1">
      <c r="B6" s="148" t="s">
        <v>113</v>
      </c>
      <c r="C6" s="149"/>
      <c r="D6" s="149"/>
      <c r="E6" s="149"/>
      <c r="F6" s="149"/>
      <c r="G6" s="149"/>
      <c r="H6" s="149"/>
      <c r="I6" s="149"/>
      <c r="J6" s="149"/>
      <c r="K6" s="149"/>
      <c r="L6" s="150"/>
      <c r="M6" s="155"/>
    </row>
    <row r="7" spans="1:13" ht="126" customHeight="1">
      <c r="A7" s="3"/>
      <c r="B7" s="12">
        <v>1</v>
      </c>
      <c r="C7" s="13" t="s">
        <v>114</v>
      </c>
      <c r="D7" s="13" t="s">
        <v>115</v>
      </c>
      <c r="E7" s="13" t="s">
        <v>116</v>
      </c>
      <c r="F7" s="13" t="s">
        <v>117</v>
      </c>
      <c r="G7" s="13" t="s">
        <v>118</v>
      </c>
      <c r="H7" s="13" t="s">
        <v>119</v>
      </c>
      <c r="I7" s="14">
        <v>3</v>
      </c>
      <c r="J7" s="14">
        <v>4</v>
      </c>
      <c r="K7" s="14">
        <v>4</v>
      </c>
      <c r="L7" s="14">
        <v>5</v>
      </c>
    </row>
    <row r="8" spans="1:13" ht="108.75" customHeight="1">
      <c r="A8" s="3"/>
      <c r="B8" s="12">
        <v>2</v>
      </c>
      <c r="C8" s="13" t="s">
        <v>120</v>
      </c>
      <c r="D8" s="13" t="s">
        <v>121</v>
      </c>
      <c r="E8" s="13" t="s">
        <v>122</v>
      </c>
      <c r="F8" s="13" t="s">
        <v>123</v>
      </c>
      <c r="G8" s="13" t="s">
        <v>124</v>
      </c>
      <c r="H8" s="13" t="s">
        <v>125</v>
      </c>
      <c r="I8" s="14"/>
      <c r="J8" s="15"/>
      <c r="K8" s="16"/>
      <c r="L8" s="14"/>
    </row>
    <row r="9" spans="1:13" ht="30" customHeight="1">
      <c r="B9" s="148" t="s">
        <v>126</v>
      </c>
      <c r="C9" s="149"/>
      <c r="D9" s="149"/>
      <c r="E9" s="149"/>
      <c r="F9" s="149"/>
      <c r="G9" s="149"/>
      <c r="H9" s="149"/>
      <c r="I9" s="149"/>
      <c r="J9" s="149"/>
      <c r="K9" s="149"/>
      <c r="L9" s="150"/>
    </row>
    <row r="10" spans="1:13" ht="95.25" customHeight="1">
      <c r="A10" s="3"/>
      <c r="B10" s="12">
        <v>3</v>
      </c>
      <c r="C10" s="13" t="s">
        <v>127</v>
      </c>
      <c r="D10" s="13" t="s">
        <v>128</v>
      </c>
      <c r="E10" s="13" t="s">
        <v>129</v>
      </c>
      <c r="F10" s="13" t="s">
        <v>130</v>
      </c>
      <c r="G10" s="13" t="s">
        <v>131</v>
      </c>
      <c r="H10" s="13" t="s">
        <v>132</v>
      </c>
      <c r="I10" s="14">
        <v>3</v>
      </c>
      <c r="J10" s="14">
        <v>4</v>
      </c>
      <c r="K10" s="14">
        <v>2</v>
      </c>
      <c r="L10" s="14">
        <v>4</v>
      </c>
    </row>
    <row r="11" spans="1:13" ht="96" customHeight="1">
      <c r="A11" s="3"/>
      <c r="B11" s="12">
        <v>4</v>
      </c>
      <c r="C11" s="13" t="s">
        <v>133</v>
      </c>
      <c r="D11" s="13" t="s">
        <v>134</v>
      </c>
      <c r="E11" s="13" t="s">
        <v>135</v>
      </c>
      <c r="F11" s="13" t="s">
        <v>136</v>
      </c>
      <c r="G11" s="13" t="s">
        <v>137</v>
      </c>
      <c r="H11" s="13" t="s">
        <v>138</v>
      </c>
      <c r="I11" s="14">
        <v>1</v>
      </c>
      <c r="J11" s="14">
        <v>3</v>
      </c>
      <c r="K11" s="14">
        <v>4</v>
      </c>
      <c r="L11" s="14">
        <v>5</v>
      </c>
    </row>
    <row r="12" spans="1:13" ht="30" customHeight="1">
      <c r="B12" s="148" t="s">
        <v>139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50"/>
    </row>
    <row r="13" spans="1:13" ht="112">
      <c r="A13" s="3"/>
      <c r="B13" s="12">
        <v>5</v>
      </c>
      <c r="C13" s="13" t="s">
        <v>140</v>
      </c>
      <c r="D13" s="13" t="s">
        <v>141</v>
      </c>
      <c r="E13" s="13" t="s">
        <v>142</v>
      </c>
      <c r="F13" s="13" t="s">
        <v>143</v>
      </c>
      <c r="G13" s="13" t="s">
        <v>144</v>
      </c>
      <c r="H13" s="13" t="s">
        <v>145</v>
      </c>
      <c r="I13" s="14">
        <v>3</v>
      </c>
      <c r="J13" s="14">
        <v>4</v>
      </c>
      <c r="K13" s="14">
        <v>4</v>
      </c>
      <c r="L13" s="14">
        <v>3</v>
      </c>
    </row>
    <row r="14" spans="1:13" ht="96">
      <c r="A14" s="3"/>
      <c r="B14" s="12">
        <v>6</v>
      </c>
      <c r="C14" s="13" t="s">
        <v>146</v>
      </c>
      <c r="D14" s="13" t="s">
        <v>147</v>
      </c>
      <c r="E14" s="13" t="s">
        <v>148</v>
      </c>
      <c r="F14" s="13" t="s">
        <v>149</v>
      </c>
      <c r="G14" s="13" t="s">
        <v>150</v>
      </c>
      <c r="H14" s="13" t="s">
        <v>151</v>
      </c>
      <c r="I14" s="14">
        <v>4</v>
      </c>
      <c r="J14" s="14">
        <v>4</v>
      </c>
      <c r="K14" s="14">
        <v>3</v>
      </c>
      <c r="L14" s="14">
        <v>3</v>
      </c>
    </row>
    <row r="15" spans="1:13" ht="30" customHeight="1">
      <c r="B15" s="148" t="s">
        <v>152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50"/>
    </row>
    <row r="16" spans="1:13" ht="112">
      <c r="B16" s="12">
        <v>7</v>
      </c>
      <c r="C16" s="13" t="s">
        <v>153</v>
      </c>
      <c r="D16" s="13" t="s">
        <v>154</v>
      </c>
      <c r="E16" s="13" t="s">
        <v>155</v>
      </c>
      <c r="F16" s="13" t="s">
        <v>156</v>
      </c>
      <c r="G16" s="13" t="s">
        <v>157</v>
      </c>
      <c r="H16" s="13" t="s">
        <v>158</v>
      </c>
      <c r="I16" s="14">
        <v>3</v>
      </c>
      <c r="J16" s="14">
        <v>5</v>
      </c>
      <c r="K16" s="14">
        <v>4</v>
      </c>
      <c r="L16" s="14">
        <v>5</v>
      </c>
    </row>
    <row r="17" spans="2:12" ht="112">
      <c r="B17" s="12">
        <v>8</v>
      </c>
      <c r="C17" s="13" t="s">
        <v>159</v>
      </c>
      <c r="D17" s="13" t="s">
        <v>160</v>
      </c>
      <c r="E17" s="13" t="s">
        <v>161</v>
      </c>
      <c r="F17" s="13" t="s">
        <v>162</v>
      </c>
      <c r="G17" s="13" t="s">
        <v>163</v>
      </c>
      <c r="H17" s="13" t="s">
        <v>164</v>
      </c>
      <c r="I17" s="14">
        <v>3</v>
      </c>
      <c r="J17" s="14">
        <v>3</v>
      </c>
      <c r="K17" s="14">
        <v>3</v>
      </c>
      <c r="L17" s="14">
        <v>4</v>
      </c>
    </row>
    <row r="18" spans="2:12" ht="30" customHeight="1">
      <c r="B18" s="148" t="s">
        <v>165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50"/>
    </row>
    <row r="19" spans="2:12" ht="96">
      <c r="B19" s="12">
        <v>9</v>
      </c>
      <c r="C19" s="13" t="s">
        <v>166</v>
      </c>
      <c r="D19" s="13" t="s">
        <v>167</v>
      </c>
      <c r="E19" s="13" t="s">
        <v>168</v>
      </c>
      <c r="F19" s="13" t="s">
        <v>169</v>
      </c>
      <c r="G19" s="13" t="s">
        <v>170</v>
      </c>
      <c r="H19" s="13" t="s">
        <v>171</v>
      </c>
      <c r="I19" s="14">
        <v>2</v>
      </c>
      <c r="J19" s="14">
        <v>4</v>
      </c>
      <c r="K19" s="14">
        <v>4</v>
      </c>
      <c r="L19" s="14">
        <v>4</v>
      </c>
    </row>
    <row r="20" spans="2:12" ht="96">
      <c r="B20" s="12">
        <v>10</v>
      </c>
      <c r="C20" s="13" t="s">
        <v>172</v>
      </c>
      <c r="D20" s="13" t="s">
        <v>173</v>
      </c>
      <c r="E20" s="13" t="s">
        <v>174</v>
      </c>
      <c r="F20" s="13" t="s">
        <v>175</v>
      </c>
      <c r="G20" s="13" t="s">
        <v>176</v>
      </c>
      <c r="H20" s="13" t="s">
        <v>177</v>
      </c>
      <c r="I20" s="14">
        <v>4</v>
      </c>
      <c r="J20" s="14">
        <v>5</v>
      </c>
      <c r="K20" s="14">
        <v>4</v>
      </c>
      <c r="L20" s="14">
        <v>5</v>
      </c>
    </row>
    <row r="21" spans="2:12" ht="15.75" customHeight="1">
      <c r="B21" s="12">
        <v>11</v>
      </c>
      <c r="C21" s="13" t="s">
        <v>178</v>
      </c>
      <c r="D21" s="13" t="s">
        <v>179</v>
      </c>
      <c r="E21" s="13" t="s">
        <v>180</v>
      </c>
      <c r="F21" s="13" t="s">
        <v>181</v>
      </c>
      <c r="G21" s="13" t="s">
        <v>182</v>
      </c>
      <c r="H21" s="13" t="s">
        <v>183</v>
      </c>
      <c r="I21" s="14">
        <v>3</v>
      </c>
      <c r="J21" s="14">
        <v>5</v>
      </c>
      <c r="K21" s="14">
        <v>4</v>
      </c>
      <c r="L21" s="14">
        <v>4</v>
      </c>
    </row>
    <row r="22" spans="2:12" ht="15.75" customHeight="1">
      <c r="B22" s="12">
        <v>12</v>
      </c>
      <c r="C22" s="13" t="s">
        <v>184</v>
      </c>
      <c r="D22" s="13" t="s">
        <v>185</v>
      </c>
      <c r="E22" s="13" t="s">
        <v>186</v>
      </c>
      <c r="F22" s="13" t="s">
        <v>187</v>
      </c>
      <c r="G22" s="13" t="s">
        <v>188</v>
      </c>
      <c r="H22" s="13" t="s">
        <v>189</v>
      </c>
      <c r="I22" s="14">
        <v>2</v>
      </c>
      <c r="J22" s="14">
        <v>5</v>
      </c>
      <c r="K22" s="14">
        <v>1</v>
      </c>
      <c r="L22" s="14">
        <v>4</v>
      </c>
    </row>
    <row r="23" spans="2:12" ht="15.75" customHeight="1">
      <c r="B23" s="12">
        <v>13</v>
      </c>
      <c r="C23" s="13" t="s">
        <v>190</v>
      </c>
      <c r="D23" s="13" t="s">
        <v>191</v>
      </c>
      <c r="E23" s="13" t="s">
        <v>192</v>
      </c>
      <c r="F23" s="13" t="s">
        <v>193</v>
      </c>
      <c r="G23" s="13" t="s">
        <v>194</v>
      </c>
      <c r="H23" s="13" t="s">
        <v>195</v>
      </c>
      <c r="I23" s="14">
        <v>4</v>
      </c>
      <c r="J23" s="14">
        <v>4</v>
      </c>
      <c r="K23" s="14">
        <v>1</v>
      </c>
      <c r="L23" s="14">
        <v>1</v>
      </c>
    </row>
    <row r="24" spans="2:12" ht="15.75" customHeight="1">
      <c r="B24" s="12">
        <v>14</v>
      </c>
      <c r="C24" s="13" t="s">
        <v>196</v>
      </c>
      <c r="D24" s="13" t="s">
        <v>197</v>
      </c>
      <c r="E24" s="13" t="s">
        <v>198</v>
      </c>
      <c r="F24" s="13" t="s">
        <v>199</v>
      </c>
      <c r="G24" s="13" t="s">
        <v>200</v>
      </c>
      <c r="H24" s="13" t="s">
        <v>201</v>
      </c>
      <c r="I24" s="14">
        <v>3</v>
      </c>
      <c r="J24" s="14">
        <v>5</v>
      </c>
      <c r="K24" s="14">
        <v>1</v>
      </c>
      <c r="L24" s="14">
        <v>4</v>
      </c>
    </row>
    <row r="25" spans="2:12" ht="30" customHeight="1">
      <c r="B25" s="148" t="s">
        <v>202</v>
      </c>
      <c r="C25" s="149"/>
      <c r="D25" s="149"/>
      <c r="E25" s="149"/>
      <c r="F25" s="149"/>
      <c r="G25" s="149"/>
      <c r="H25" s="149"/>
      <c r="I25" s="149"/>
      <c r="J25" s="149"/>
      <c r="K25" s="149"/>
      <c r="L25" s="150"/>
    </row>
    <row r="26" spans="2:12" ht="15.75" customHeight="1">
      <c r="B26" s="12">
        <v>15</v>
      </c>
      <c r="C26" s="13" t="s">
        <v>203</v>
      </c>
      <c r="D26" s="13" t="s">
        <v>204</v>
      </c>
      <c r="E26" s="13" t="s">
        <v>205</v>
      </c>
      <c r="F26" s="13" t="s">
        <v>206</v>
      </c>
      <c r="G26" s="13" t="s">
        <v>207</v>
      </c>
      <c r="H26" s="13" t="s">
        <v>208</v>
      </c>
      <c r="I26" s="14">
        <v>3</v>
      </c>
      <c r="J26" s="14">
        <v>5</v>
      </c>
      <c r="K26" s="14">
        <v>5</v>
      </c>
      <c r="L26" s="14">
        <v>2</v>
      </c>
    </row>
    <row r="27" spans="2:12" ht="15.75" customHeight="1">
      <c r="B27" s="12">
        <v>16</v>
      </c>
      <c r="C27" s="13" t="s">
        <v>209</v>
      </c>
      <c r="D27" s="13" t="s">
        <v>210</v>
      </c>
      <c r="E27" s="13" t="s">
        <v>211</v>
      </c>
      <c r="F27" s="13" t="s">
        <v>212</v>
      </c>
      <c r="G27" s="13" t="s">
        <v>213</v>
      </c>
      <c r="H27" s="13" t="s">
        <v>214</v>
      </c>
      <c r="I27" s="14">
        <v>4</v>
      </c>
      <c r="J27" s="14">
        <v>2</v>
      </c>
      <c r="K27" s="14">
        <v>5</v>
      </c>
      <c r="L27" s="15"/>
    </row>
    <row r="28" spans="2:12" ht="15.75" customHeight="1">
      <c r="B28" s="12">
        <v>17</v>
      </c>
      <c r="C28" s="13" t="s">
        <v>215</v>
      </c>
      <c r="D28" s="13" t="s">
        <v>216</v>
      </c>
      <c r="E28" s="13" t="s">
        <v>217</v>
      </c>
      <c r="F28" s="13" t="s">
        <v>218</v>
      </c>
      <c r="G28" s="13" t="s">
        <v>219</v>
      </c>
      <c r="H28" s="13" t="s">
        <v>220</v>
      </c>
      <c r="I28" s="14">
        <v>4</v>
      </c>
      <c r="J28" s="14">
        <v>5</v>
      </c>
      <c r="K28" s="14">
        <v>4</v>
      </c>
      <c r="L28" s="14">
        <v>4</v>
      </c>
    </row>
    <row r="29" spans="2:12" ht="15.75" customHeight="1">
      <c r="B29" s="12">
        <v>18</v>
      </c>
      <c r="C29" s="13" t="s">
        <v>221</v>
      </c>
      <c r="D29" s="13" t="s">
        <v>222</v>
      </c>
      <c r="E29" s="13" t="s">
        <v>223</v>
      </c>
      <c r="F29" s="13" t="s">
        <v>224</v>
      </c>
      <c r="G29" s="13" t="s">
        <v>225</v>
      </c>
      <c r="H29" s="13" t="s">
        <v>226</v>
      </c>
      <c r="I29" s="14">
        <v>3</v>
      </c>
      <c r="J29" s="14">
        <v>5</v>
      </c>
      <c r="K29" s="14">
        <v>4</v>
      </c>
      <c r="L29" s="14">
        <v>4</v>
      </c>
    </row>
    <row r="30" spans="2:12" ht="30" customHeight="1">
      <c r="B30" s="148" t="s">
        <v>227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50"/>
    </row>
    <row r="31" spans="2:12" ht="15.75" customHeight="1">
      <c r="B31" s="12">
        <v>19</v>
      </c>
      <c r="C31" s="13" t="s">
        <v>228</v>
      </c>
      <c r="D31" s="13" t="s">
        <v>229</v>
      </c>
      <c r="E31" s="13" t="s">
        <v>230</v>
      </c>
      <c r="F31" s="13" t="s">
        <v>231</v>
      </c>
      <c r="G31" s="13" t="s">
        <v>232</v>
      </c>
      <c r="H31" s="13" t="s">
        <v>233</v>
      </c>
      <c r="I31" s="14">
        <v>2</v>
      </c>
      <c r="J31" s="14">
        <v>2</v>
      </c>
      <c r="K31" s="14">
        <v>5</v>
      </c>
      <c r="L31" s="14">
        <v>5</v>
      </c>
    </row>
    <row r="32" spans="2:12" ht="15.75" customHeight="1">
      <c r="B32" s="12">
        <v>20</v>
      </c>
      <c r="C32" s="13" t="s">
        <v>234</v>
      </c>
      <c r="D32" s="13" t="s">
        <v>235</v>
      </c>
      <c r="E32" s="13" t="s">
        <v>236</v>
      </c>
      <c r="F32" s="13" t="s">
        <v>237</v>
      </c>
      <c r="G32" s="13" t="s">
        <v>238</v>
      </c>
      <c r="H32" s="13" t="s">
        <v>239</v>
      </c>
      <c r="I32" s="14">
        <v>4</v>
      </c>
      <c r="J32" s="14">
        <v>5</v>
      </c>
      <c r="K32" s="14">
        <v>5</v>
      </c>
      <c r="L32" s="14">
        <v>5</v>
      </c>
    </row>
    <row r="33" spans="2:13" ht="30" customHeight="1">
      <c r="B33" s="148" t="s">
        <v>240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50"/>
    </row>
    <row r="34" spans="2:13" ht="15.75" customHeight="1">
      <c r="B34" s="12">
        <v>21</v>
      </c>
      <c r="C34" s="13" t="s">
        <v>241</v>
      </c>
      <c r="D34" s="13" t="s">
        <v>242</v>
      </c>
      <c r="E34" s="13" t="s">
        <v>243</v>
      </c>
      <c r="F34" s="13" t="s">
        <v>244</v>
      </c>
      <c r="G34" s="13" t="s">
        <v>245</v>
      </c>
      <c r="H34" s="13" t="s">
        <v>246</v>
      </c>
      <c r="I34" s="14">
        <v>5</v>
      </c>
      <c r="J34" s="14">
        <v>5</v>
      </c>
      <c r="K34" s="17">
        <v>3.5</v>
      </c>
      <c r="L34" s="18">
        <v>3</v>
      </c>
      <c r="M34" s="19" t="s">
        <v>247</v>
      </c>
    </row>
    <row r="35" spans="2:13" ht="15.75" customHeight="1">
      <c r="B35" s="12">
        <v>22</v>
      </c>
      <c r="C35" s="13" t="s">
        <v>248</v>
      </c>
      <c r="D35" s="13" t="s">
        <v>249</v>
      </c>
      <c r="E35" s="13" t="s">
        <v>250</v>
      </c>
      <c r="F35" s="13" t="s">
        <v>251</v>
      </c>
      <c r="G35" s="13" t="s">
        <v>252</v>
      </c>
      <c r="H35" s="13" t="s">
        <v>253</v>
      </c>
      <c r="I35" s="14">
        <v>4</v>
      </c>
      <c r="J35" s="14">
        <v>5</v>
      </c>
      <c r="K35" s="17">
        <v>3.5</v>
      </c>
      <c r="L35" s="18">
        <v>2</v>
      </c>
      <c r="M35" s="20" t="s">
        <v>254</v>
      </c>
    </row>
    <row r="36" spans="2:13" ht="15.75" customHeight="1">
      <c r="B36" s="12">
        <v>23</v>
      </c>
      <c r="C36" s="13" t="s">
        <v>255</v>
      </c>
      <c r="D36" s="13" t="s">
        <v>256</v>
      </c>
      <c r="E36" s="13" t="s">
        <v>257</v>
      </c>
      <c r="F36" s="13" t="s">
        <v>258</v>
      </c>
      <c r="G36" s="13" t="s">
        <v>259</v>
      </c>
      <c r="H36" s="13" t="s">
        <v>260</v>
      </c>
      <c r="I36" s="14">
        <v>5</v>
      </c>
      <c r="J36" s="14">
        <v>5</v>
      </c>
      <c r="K36" s="14">
        <v>5</v>
      </c>
      <c r="L36" s="14">
        <v>4</v>
      </c>
    </row>
    <row r="37" spans="2:13" ht="81" customHeight="1">
      <c r="B37" s="12">
        <v>24</v>
      </c>
      <c r="C37" s="13" t="s">
        <v>261</v>
      </c>
      <c r="D37" s="13" t="s">
        <v>262</v>
      </c>
      <c r="E37" s="13" t="s">
        <v>263</v>
      </c>
      <c r="F37" s="13" t="s">
        <v>264</v>
      </c>
      <c r="G37" s="13" t="s">
        <v>265</v>
      </c>
      <c r="H37" s="13" t="s">
        <v>266</v>
      </c>
      <c r="I37" s="14">
        <v>1</v>
      </c>
      <c r="J37" s="14">
        <v>5</v>
      </c>
      <c r="K37" s="14">
        <v>5</v>
      </c>
      <c r="L37" s="14">
        <v>5</v>
      </c>
    </row>
    <row r="38" spans="2:13" ht="15.75" customHeight="1">
      <c r="B38" s="12">
        <v>25</v>
      </c>
      <c r="C38" s="13" t="s">
        <v>267</v>
      </c>
      <c r="D38" s="13" t="s">
        <v>268</v>
      </c>
      <c r="E38" s="13" t="s">
        <v>269</v>
      </c>
      <c r="F38" s="13" t="s">
        <v>270</v>
      </c>
      <c r="G38" s="13" t="s">
        <v>271</v>
      </c>
      <c r="H38" s="13" t="s">
        <v>272</v>
      </c>
      <c r="I38" s="14">
        <v>4</v>
      </c>
      <c r="J38" s="21">
        <v>3</v>
      </c>
      <c r="K38" s="14">
        <v>1</v>
      </c>
      <c r="L38" s="14">
        <v>5</v>
      </c>
    </row>
    <row r="39" spans="2:13" ht="30" customHeight="1">
      <c r="B39" s="148" t="s">
        <v>273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50"/>
    </row>
    <row r="40" spans="2:13" ht="15.75" customHeight="1">
      <c r="B40" s="12">
        <v>26</v>
      </c>
      <c r="C40" s="13" t="s">
        <v>274</v>
      </c>
      <c r="D40" s="13" t="s">
        <v>275</v>
      </c>
      <c r="E40" s="13" t="s">
        <v>276</v>
      </c>
      <c r="F40" s="13" t="s">
        <v>277</v>
      </c>
      <c r="G40" s="13" t="s">
        <v>278</v>
      </c>
      <c r="H40" s="13" t="s">
        <v>279</v>
      </c>
      <c r="I40" s="14">
        <v>3</v>
      </c>
      <c r="J40" s="14">
        <v>4</v>
      </c>
      <c r="K40" s="14">
        <v>4</v>
      </c>
      <c r="L40" s="14">
        <v>3</v>
      </c>
    </row>
    <row r="41" spans="2:13" ht="15.75" customHeight="1">
      <c r="B41" s="12">
        <v>27</v>
      </c>
      <c r="C41" s="13" t="s">
        <v>280</v>
      </c>
      <c r="D41" s="13" t="s">
        <v>281</v>
      </c>
      <c r="E41" s="13" t="s">
        <v>282</v>
      </c>
      <c r="F41" s="13" t="s">
        <v>283</v>
      </c>
      <c r="G41" s="13" t="s">
        <v>284</v>
      </c>
      <c r="H41" s="13" t="s">
        <v>285</v>
      </c>
      <c r="I41" s="14">
        <v>2</v>
      </c>
      <c r="J41" s="14">
        <v>3</v>
      </c>
      <c r="K41" s="14">
        <v>5</v>
      </c>
      <c r="L41" s="14">
        <v>3</v>
      </c>
    </row>
    <row r="42" spans="2:13" ht="15.75" customHeight="1">
      <c r="B42" s="12">
        <v>28</v>
      </c>
      <c r="C42" s="13" t="s">
        <v>286</v>
      </c>
      <c r="D42" s="13" t="s">
        <v>287</v>
      </c>
      <c r="E42" s="13" t="s">
        <v>288</v>
      </c>
      <c r="F42" s="13" t="s">
        <v>289</v>
      </c>
      <c r="G42" s="13" t="s">
        <v>290</v>
      </c>
      <c r="H42" s="13" t="s">
        <v>291</v>
      </c>
      <c r="I42" s="14">
        <v>3</v>
      </c>
      <c r="J42" s="14">
        <v>5</v>
      </c>
      <c r="K42" s="14">
        <v>4</v>
      </c>
      <c r="L42" s="14">
        <v>4</v>
      </c>
    </row>
    <row r="43" spans="2:13" ht="30" customHeight="1">
      <c r="B43" s="148" t="s">
        <v>292</v>
      </c>
      <c r="C43" s="149"/>
      <c r="D43" s="149"/>
      <c r="E43" s="149"/>
      <c r="F43" s="149"/>
      <c r="G43" s="149"/>
      <c r="H43" s="150"/>
      <c r="I43" s="22"/>
      <c r="J43" s="23"/>
      <c r="K43" s="24"/>
      <c r="L43" s="24"/>
    </row>
    <row r="44" spans="2:13" ht="15.75" customHeight="1">
      <c r="B44" s="12">
        <v>29</v>
      </c>
      <c r="C44" s="13" t="s">
        <v>293</v>
      </c>
      <c r="D44" s="13" t="s">
        <v>294</v>
      </c>
      <c r="E44" s="13" t="s">
        <v>295</v>
      </c>
      <c r="F44" s="13" t="s">
        <v>296</v>
      </c>
      <c r="G44" s="13" t="s">
        <v>297</v>
      </c>
      <c r="H44" s="13" t="s">
        <v>298</v>
      </c>
      <c r="I44" s="14">
        <v>3</v>
      </c>
      <c r="J44" s="14">
        <v>5</v>
      </c>
      <c r="K44" s="14">
        <v>5</v>
      </c>
      <c r="L44" s="14">
        <v>4</v>
      </c>
    </row>
    <row r="45" spans="2:13" ht="15.75" customHeight="1">
      <c r="B45" s="12">
        <v>30</v>
      </c>
      <c r="C45" s="13" t="s">
        <v>299</v>
      </c>
      <c r="D45" s="13" t="s">
        <v>300</v>
      </c>
      <c r="E45" s="13" t="s">
        <v>301</v>
      </c>
      <c r="F45" s="13" t="s">
        <v>302</v>
      </c>
      <c r="G45" s="13" t="s">
        <v>303</v>
      </c>
      <c r="H45" s="13" t="s">
        <v>304</v>
      </c>
      <c r="I45" s="14">
        <v>3</v>
      </c>
      <c r="J45" s="14">
        <v>5</v>
      </c>
      <c r="K45" s="14">
        <v>4</v>
      </c>
      <c r="L45" s="14">
        <v>4</v>
      </c>
    </row>
    <row r="46" spans="2:13" ht="15.75" customHeight="1">
      <c r="B46" s="12">
        <v>31</v>
      </c>
      <c r="C46" s="13" t="s">
        <v>305</v>
      </c>
      <c r="D46" s="13" t="s">
        <v>306</v>
      </c>
      <c r="E46" s="13" t="s">
        <v>307</v>
      </c>
      <c r="F46" s="13" t="s">
        <v>308</v>
      </c>
      <c r="G46" s="13" t="s">
        <v>309</v>
      </c>
      <c r="H46" s="13" t="s">
        <v>310</v>
      </c>
      <c r="I46" s="14">
        <v>2</v>
      </c>
      <c r="J46" s="14">
        <v>5</v>
      </c>
      <c r="K46" s="14">
        <v>3</v>
      </c>
      <c r="L46" s="14">
        <v>4</v>
      </c>
    </row>
    <row r="47" spans="2:13" ht="30" customHeight="1">
      <c r="B47" s="148" t="s">
        <v>311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50"/>
    </row>
    <row r="48" spans="2:13" ht="15.75" customHeight="1">
      <c r="B48" s="12">
        <v>32</v>
      </c>
      <c r="C48" s="13" t="s">
        <v>312</v>
      </c>
      <c r="D48" s="13" t="s">
        <v>313</v>
      </c>
      <c r="E48" s="13" t="s">
        <v>314</v>
      </c>
      <c r="F48" s="13" t="s">
        <v>315</v>
      </c>
      <c r="G48" s="13" t="s">
        <v>316</v>
      </c>
      <c r="H48" s="13" t="s">
        <v>317</v>
      </c>
      <c r="I48" s="14">
        <v>5</v>
      </c>
      <c r="J48" s="15"/>
      <c r="K48" s="16"/>
      <c r="L48" s="25">
        <v>5</v>
      </c>
    </row>
    <row r="49" spans="2:12" ht="15.75" customHeight="1">
      <c r="B49" s="12">
        <v>33</v>
      </c>
      <c r="C49" s="13" t="s">
        <v>318</v>
      </c>
      <c r="D49" s="13" t="s">
        <v>319</v>
      </c>
      <c r="E49" s="13" t="s">
        <v>320</v>
      </c>
      <c r="F49" s="13" t="s">
        <v>321</v>
      </c>
      <c r="G49" s="13" t="s">
        <v>322</v>
      </c>
      <c r="H49" s="13" t="s">
        <v>323</v>
      </c>
      <c r="I49" s="14">
        <v>5</v>
      </c>
      <c r="J49" s="15"/>
      <c r="K49" s="16"/>
      <c r="L49" s="26"/>
    </row>
    <row r="50" spans="2:12" ht="15.75" customHeight="1">
      <c r="B50" s="12">
        <v>34</v>
      </c>
      <c r="C50" s="13" t="s">
        <v>324</v>
      </c>
      <c r="D50" s="13" t="s">
        <v>325</v>
      </c>
      <c r="E50" s="13" t="s">
        <v>326</v>
      </c>
      <c r="F50" s="13" t="s">
        <v>327</v>
      </c>
      <c r="G50" s="13" t="s">
        <v>328</v>
      </c>
      <c r="H50" s="13" t="s">
        <v>329</v>
      </c>
      <c r="I50" s="14">
        <v>5</v>
      </c>
      <c r="J50" s="15"/>
      <c r="K50" s="16"/>
      <c r="L50" s="25">
        <v>4</v>
      </c>
    </row>
    <row r="51" spans="2:12" ht="15.75" customHeight="1">
      <c r="B51" s="12">
        <v>35</v>
      </c>
      <c r="C51" s="13" t="s">
        <v>330</v>
      </c>
      <c r="D51" s="13" t="s">
        <v>331</v>
      </c>
      <c r="E51" s="13" t="s">
        <v>332</v>
      </c>
      <c r="F51" s="13" t="s">
        <v>333</v>
      </c>
      <c r="G51" s="13" t="s">
        <v>334</v>
      </c>
      <c r="H51" s="13" t="s">
        <v>335</v>
      </c>
      <c r="I51" s="14">
        <v>5</v>
      </c>
      <c r="J51" s="15"/>
      <c r="K51" s="16"/>
      <c r="L51" s="26"/>
    </row>
    <row r="52" spans="2:12" ht="15.75" customHeight="1">
      <c r="B52" s="12">
        <v>36</v>
      </c>
      <c r="C52" s="13" t="s">
        <v>336</v>
      </c>
      <c r="D52" s="13" t="s">
        <v>337</v>
      </c>
      <c r="E52" s="13" t="s">
        <v>338</v>
      </c>
      <c r="F52" s="13" t="s">
        <v>339</v>
      </c>
      <c r="G52" s="13" t="s">
        <v>340</v>
      </c>
      <c r="H52" s="13" t="s">
        <v>341</v>
      </c>
      <c r="I52" s="14">
        <v>3</v>
      </c>
      <c r="J52" s="15"/>
      <c r="K52" s="16"/>
      <c r="L52" s="25">
        <v>3</v>
      </c>
    </row>
    <row r="53" spans="2:12" ht="15.75" customHeight="1">
      <c r="B53" s="12">
        <v>37</v>
      </c>
      <c r="C53" s="13" t="s">
        <v>342</v>
      </c>
      <c r="D53" s="13" t="s">
        <v>343</v>
      </c>
      <c r="E53" s="13" t="s">
        <v>344</v>
      </c>
      <c r="F53" s="13" t="s">
        <v>345</v>
      </c>
      <c r="G53" s="13" t="s">
        <v>346</v>
      </c>
      <c r="H53" s="13" t="s">
        <v>347</v>
      </c>
      <c r="I53" s="14">
        <v>5</v>
      </c>
      <c r="J53" s="15"/>
      <c r="K53" s="16"/>
      <c r="L53" s="16"/>
    </row>
    <row r="54" spans="2:12" ht="15.75" customHeight="1">
      <c r="B54" s="12">
        <v>38</v>
      </c>
      <c r="C54" s="13" t="s">
        <v>348</v>
      </c>
      <c r="D54" s="13" t="s">
        <v>349</v>
      </c>
      <c r="E54" s="13" t="s">
        <v>350</v>
      </c>
      <c r="F54" s="13" t="s">
        <v>351</v>
      </c>
      <c r="G54" s="13" t="s">
        <v>352</v>
      </c>
      <c r="H54" s="13" t="s">
        <v>353</v>
      </c>
      <c r="I54" s="14">
        <v>4</v>
      </c>
      <c r="J54" s="15"/>
      <c r="K54" s="16"/>
      <c r="L54" s="16"/>
    </row>
    <row r="55" spans="2:12" ht="30" customHeight="1">
      <c r="B55" s="148" t="s">
        <v>354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50"/>
    </row>
    <row r="56" spans="2:12" ht="15.75" customHeight="1">
      <c r="B56" s="12">
        <v>39</v>
      </c>
      <c r="C56" s="13" t="s">
        <v>355</v>
      </c>
      <c r="D56" s="13" t="s">
        <v>356</v>
      </c>
      <c r="E56" s="13" t="s">
        <v>357</v>
      </c>
      <c r="F56" s="13" t="s">
        <v>358</v>
      </c>
      <c r="G56" s="13" t="s">
        <v>359</v>
      </c>
      <c r="H56" s="13" t="s">
        <v>360</v>
      </c>
      <c r="I56" s="27"/>
      <c r="J56" s="14">
        <v>5</v>
      </c>
      <c r="K56" s="15">
        <v>4</v>
      </c>
      <c r="L56" s="16"/>
    </row>
    <row r="57" spans="2:12" ht="15.75" customHeight="1">
      <c r="B57" s="12">
        <v>40</v>
      </c>
      <c r="C57" s="13" t="s">
        <v>361</v>
      </c>
      <c r="D57" s="13" t="s">
        <v>362</v>
      </c>
      <c r="E57" s="13" t="s">
        <v>363</v>
      </c>
      <c r="F57" s="13" t="s">
        <v>364</v>
      </c>
      <c r="G57" s="13" t="s">
        <v>365</v>
      </c>
      <c r="H57" s="13" t="s">
        <v>366</v>
      </c>
      <c r="I57" s="27"/>
      <c r="J57" s="14">
        <v>5</v>
      </c>
      <c r="K57" s="15">
        <v>4</v>
      </c>
      <c r="L57" s="16"/>
    </row>
    <row r="58" spans="2:12" ht="15.75" customHeight="1">
      <c r="B58" s="12">
        <v>41</v>
      </c>
      <c r="C58" s="13" t="s">
        <v>367</v>
      </c>
      <c r="D58" s="13" t="s">
        <v>368</v>
      </c>
      <c r="E58" s="13" t="s">
        <v>369</v>
      </c>
      <c r="F58" s="13" t="s">
        <v>370</v>
      </c>
      <c r="G58" s="13" t="s">
        <v>371</v>
      </c>
      <c r="H58" s="13" t="s">
        <v>372</v>
      </c>
      <c r="I58" s="27"/>
      <c r="J58" s="14">
        <v>5</v>
      </c>
      <c r="K58" s="15">
        <v>4</v>
      </c>
      <c r="L58" s="16"/>
    </row>
    <row r="59" spans="2:12" ht="15.75" customHeight="1">
      <c r="B59" s="12">
        <v>42</v>
      </c>
      <c r="C59" s="13" t="s">
        <v>373</v>
      </c>
      <c r="D59" s="13" t="s">
        <v>374</v>
      </c>
      <c r="E59" s="13" t="s">
        <v>375</v>
      </c>
      <c r="F59" s="13" t="s">
        <v>376</v>
      </c>
      <c r="G59" s="13" t="s">
        <v>377</v>
      </c>
      <c r="H59" s="13" t="s">
        <v>378</v>
      </c>
      <c r="I59" s="27"/>
      <c r="J59" s="14">
        <v>5</v>
      </c>
      <c r="K59" s="15">
        <v>4</v>
      </c>
      <c r="L59" s="16"/>
    </row>
    <row r="60" spans="2:12" ht="15.75" customHeight="1">
      <c r="B60" s="12">
        <v>43</v>
      </c>
      <c r="C60" s="13" t="s">
        <v>379</v>
      </c>
      <c r="D60" s="13" t="s">
        <v>380</v>
      </c>
      <c r="E60" s="13" t="s">
        <v>381</v>
      </c>
      <c r="F60" s="13" t="s">
        <v>382</v>
      </c>
      <c r="G60" s="13" t="s">
        <v>383</v>
      </c>
      <c r="H60" s="13" t="s">
        <v>384</v>
      </c>
      <c r="I60" s="27"/>
      <c r="J60" s="14">
        <v>5</v>
      </c>
      <c r="K60" s="15">
        <v>4</v>
      </c>
      <c r="L60" s="16"/>
    </row>
    <row r="61" spans="2:12" ht="15.75" customHeight="1">
      <c r="B61" s="12">
        <v>44</v>
      </c>
      <c r="C61" s="13" t="s">
        <v>385</v>
      </c>
      <c r="D61" s="13" t="s">
        <v>386</v>
      </c>
      <c r="E61" s="13" t="s">
        <v>387</v>
      </c>
      <c r="F61" s="13" t="s">
        <v>388</v>
      </c>
      <c r="G61" s="13" t="s">
        <v>389</v>
      </c>
      <c r="H61" s="13" t="s">
        <v>390</v>
      </c>
      <c r="I61" s="27"/>
      <c r="J61" s="14">
        <v>5</v>
      </c>
      <c r="K61" s="15">
        <v>4</v>
      </c>
      <c r="L61" s="16"/>
    </row>
    <row r="62" spans="2:12" ht="30" customHeight="1">
      <c r="B62" s="148" t="s">
        <v>391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50"/>
    </row>
    <row r="63" spans="2:12" ht="15.75" customHeight="1">
      <c r="B63" s="12">
        <v>45</v>
      </c>
      <c r="C63" s="13" t="s">
        <v>392</v>
      </c>
      <c r="D63" s="13" t="s">
        <v>393</v>
      </c>
      <c r="E63" s="13" t="s">
        <v>394</v>
      </c>
      <c r="F63" s="13" t="s">
        <v>395</v>
      </c>
      <c r="G63" s="13" t="s">
        <v>396</v>
      </c>
      <c r="H63" s="13" t="s">
        <v>397</v>
      </c>
      <c r="I63" s="27"/>
      <c r="J63" s="14">
        <v>5</v>
      </c>
      <c r="K63" s="14">
        <v>4</v>
      </c>
      <c r="L63" s="16"/>
    </row>
    <row r="64" spans="2:12" ht="15.75" customHeight="1">
      <c r="B64" s="12">
        <v>46</v>
      </c>
      <c r="C64" s="13" t="s">
        <v>398</v>
      </c>
      <c r="D64" s="13" t="s">
        <v>399</v>
      </c>
      <c r="E64" s="13" t="s">
        <v>363</v>
      </c>
      <c r="F64" s="13" t="s">
        <v>400</v>
      </c>
      <c r="G64" s="13" t="s">
        <v>401</v>
      </c>
      <c r="H64" s="13" t="s">
        <v>402</v>
      </c>
      <c r="I64" s="27"/>
      <c r="J64" s="14">
        <v>5</v>
      </c>
      <c r="K64" s="14">
        <v>3</v>
      </c>
      <c r="L64" s="16"/>
    </row>
    <row r="65" spans="2:12" ht="30" customHeight="1">
      <c r="B65" s="148" t="s">
        <v>403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50"/>
    </row>
    <row r="66" spans="2:12" ht="15.75" customHeight="1">
      <c r="B66" s="12">
        <v>47</v>
      </c>
      <c r="C66" s="13" t="s">
        <v>404</v>
      </c>
      <c r="D66" s="13" t="s">
        <v>405</v>
      </c>
      <c r="E66" s="13" t="s">
        <v>406</v>
      </c>
      <c r="F66" s="13" t="s">
        <v>407</v>
      </c>
      <c r="G66" s="13" t="s">
        <v>408</v>
      </c>
      <c r="H66" s="13" t="s">
        <v>409</v>
      </c>
      <c r="I66" s="14">
        <v>3</v>
      </c>
      <c r="J66" s="15"/>
      <c r="K66" s="16"/>
      <c r="L66" s="16"/>
    </row>
    <row r="67" spans="2:12" ht="15.75" customHeight="1">
      <c r="B67" s="12">
        <v>48</v>
      </c>
      <c r="C67" s="13" t="s">
        <v>410</v>
      </c>
      <c r="D67" s="13" t="s">
        <v>411</v>
      </c>
      <c r="E67" s="13" t="s">
        <v>412</v>
      </c>
      <c r="F67" s="13" t="s">
        <v>413</v>
      </c>
      <c r="G67" s="13" t="s">
        <v>414</v>
      </c>
      <c r="H67" s="13" t="s">
        <v>415</v>
      </c>
      <c r="I67" s="14">
        <v>3</v>
      </c>
      <c r="J67" s="15"/>
      <c r="K67" s="16"/>
      <c r="L67" s="16"/>
    </row>
    <row r="68" spans="2:12" ht="30" customHeight="1">
      <c r="B68" s="148" t="s">
        <v>416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50"/>
    </row>
    <row r="69" spans="2:12" ht="150.75" customHeight="1">
      <c r="B69" s="12">
        <v>49</v>
      </c>
      <c r="C69" s="13" t="s">
        <v>417</v>
      </c>
      <c r="D69" s="13" t="s">
        <v>418</v>
      </c>
      <c r="E69" s="13" t="s">
        <v>419</v>
      </c>
      <c r="F69" s="13" t="s">
        <v>420</v>
      </c>
      <c r="G69" s="13" t="s">
        <v>421</v>
      </c>
      <c r="H69" s="13" t="s">
        <v>422</v>
      </c>
      <c r="I69" s="27"/>
      <c r="J69" s="14">
        <v>5</v>
      </c>
      <c r="K69" s="16"/>
      <c r="L69" s="16"/>
    </row>
    <row r="70" spans="2:12" ht="15.75" customHeight="1">
      <c r="B70" s="12">
        <v>50</v>
      </c>
      <c r="C70" s="13" t="s">
        <v>423</v>
      </c>
      <c r="D70" s="13" t="s">
        <v>424</v>
      </c>
      <c r="E70" s="13" t="s">
        <v>425</v>
      </c>
      <c r="F70" s="13" t="s">
        <v>426</v>
      </c>
      <c r="G70" s="13" t="s">
        <v>427</v>
      </c>
      <c r="H70" s="13" t="s">
        <v>428</v>
      </c>
      <c r="I70" s="27"/>
      <c r="J70" s="14">
        <v>5</v>
      </c>
      <c r="K70" s="16"/>
      <c r="L70" s="16"/>
    </row>
    <row r="71" spans="2:12" ht="15.75" customHeight="1">
      <c r="B71" s="12">
        <v>51</v>
      </c>
      <c r="C71" s="28" t="s">
        <v>429</v>
      </c>
      <c r="D71" s="13" t="s">
        <v>430</v>
      </c>
      <c r="E71" s="13" t="s">
        <v>192</v>
      </c>
      <c r="F71" s="13" t="s">
        <v>431</v>
      </c>
      <c r="G71" s="13" t="s">
        <v>432</v>
      </c>
      <c r="H71" s="13" t="s">
        <v>433</v>
      </c>
      <c r="I71" s="27"/>
      <c r="J71" s="14">
        <v>5</v>
      </c>
      <c r="K71" s="16"/>
      <c r="L71" s="16"/>
    </row>
    <row r="72" spans="2:12" ht="16.5" customHeight="1">
      <c r="B72" s="148" t="s">
        <v>434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50"/>
    </row>
    <row r="73" spans="2:12" ht="15.75" customHeight="1">
      <c r="B73" s="12">
        <v>52</v>
      </c>
      <c r="C73" s="13" t="s">
        <v>435</v>
      </c>
      <c r="D73" s="13" t="s">
        <v>436</v>
      </c>
      <c r="E73" s="13" t="s">
        <v>437</v>
      </c>
      <c r="F73" s="13" t="s">
        <v>438</v>
      </c>
      <c r="G73" s="13" t="s">
        <v>439</v>
      </c>
      <c r="H73" s="13" t="s">
        <v>440</v>
      </c>
      <c r="I73" s="14">
        <v>4</v>
      </c>
      <c r="J73" s="15"/>
      <c r="K73" s="16"/>
      <c r="L73" s="16"/>
    </row>
    <row r="74" spans="2:12" ht="15.75" customHeight="1">
      <c r="B74" s="12">
        <v>53</v>
      </c>
      <c r="C74" s="13" t="s">
        <v>441</v>
      </c>
      <c r="D74" s="13" t="s">
        <v>442</v>
      </c>
      <c r="E74" s="13" t="s">
        <v>443</v>
      </c>
      <c r="F74" s="13" t="s">
        <v>444</v>
      </c>
      <c r="G74" s="13" t="s">
        <v>445</v>
      </c>
      <c r="H74" s="13" t="s">
        <v>446</v>
      </c>
      <c r="I74" s="14">
        <v>4</v>
      </c>
      <c r="J74" s="15"/>
      <c r="K74" s="16"/>
      <c r="L74" s="16"/>
    </row>
    <row r="75" spans="2:12" ht="15.75" customHeight="1">
      <c r="B75" s="151" t="s">
        <v>108</v>
      </c>
      <c r="C75" s="149"/>
      <c r="D75" s="149"/>
      <c r="E75" s="149"/>
      <c r="F75" s="149"/>
      <c r="G75" s="149"/>
      <c r="H75" s="150"/>
      <c r="I75" s="27">
        <f t="shared" ref="I75:L75" si="0">SUM(I7:I8,I10:I11,I13:I14,I16:I17,I19:I24,I26:I29,I31:I32,I34:I38,I40:I42,I44:I46,I48:I54,I56:I61,I63:I64,I66:I67,I69:I71,I73:I74)</f>
        <v>139</v>
      </c>
      <c r="J75" s="15">
        <f t="shared" si="0"/>
        <v>184</v>
      </c>
      <c r="K75" s="16">
        <f t="shared" si="0"/>
        <v>141</v>
      </c>
      <c r="L75" s="16">
        <f t="shared" si="0"/>
        <v>124</v>
      </c>
    </row>
    <row r="76" spans="2:12" ht="15.75" customHeight="1">
      <c r="I76" s="8">
        <f>COUNT(I7,I10,I11,I13,I14,I16,I17,I19,I20,I21,I22,I23,I24,I26,I27,I28,I29,I31,I32,I34,I35,I36,I37,I38,I40,I41,I42,I44,I45,I46,I48,I49,I50,I51,I52,I53,I54,I73,I74,I66,I67)</f>
        <v>41</v>
      </c>
      <c r="J76" s="9">
        <f>COUNT(J7,J10,J11,J13,J14,J16,J17,J19,J20,J21,J22,J23,J24,J26,J27,J28,J29,J31,J32,J34,J35,J36,J37,J38,J40,J41,J42,J44,J45,J46,J56,J57,J58,J59,J60,J61,J63,J64,J69,J70,J71)</f>
        <v>41</v>
      </c>
      <c r="K76" s="29">
        <f>COUNT(K7,K10,K11,K13,K14,K16,K17,K19,K20,K21,K22,K23,K24,K26,K27,K28,K29,K31,K32,K34,K35,K36,K37,K38,K40,K41,K42,K44,K45,K46,K63,K64,K56,K57,K58,K59,K60,K61)</f>
        <v>38</v>
      </c>
      <c r="L76" s="29">
        <f>COUNT(L7,L10,L11,L13,L14,L16,L17,L19,L20,L21,L22,L23,L24,L26,L28,L29,L31,L32,L34,L35,L36,L37,L38,L40,L41,L42,L44,L45,L46,L48,L50,L52)</f>
        <v>32</v>
      </c>
    </row>
    <row r="77" spans="2:12" ht="15.75" customHeight="1">
      <c r="I77" s="8">
        <f t="shared" ref="I77:L77" si="1">I76*5</f>
        <v>205</v>
      </c>
      <c r="J77" s="8">
        <f t="shared" si="1"/>
        <v>205</v>
      </c>
      <c r="K77" s="8">
        <f t="shared" si="1"/>
        <v>190</v>
      </c>
      <c r="L77" s="8">
        <f t="shared" si="1"/>
        <v>160</v>
      </c>
    </row>
    <row r="78" spans="2:12" ht="15.75" customHeight="1">
      <c r="I78" s="8"/>
      <c r="J78" s="9"/>
    </row>
    <row r="79" spans="2:12" ht="15.75" customHeight="1">
      <c r="I79" s="8"/>
      <c r="J79" s="9"/>
    </row>
    <row r="80" spans="2:12" ht="15.75" customHeight="1">
      <c r="I80" s="8"/>
      <c r="J80" s="9"/>
    </row>
    <row r="81" spans="9:10" ht="15.75" customHeight="1">
      <c r="I81" s="8"/>
      <c r="J81" s="9"/>
    </row>
    <row r="82" spans="9:10" ht="15.75" customHeight="1">
      <c r="I82" s="8"/>
      <c r="J82" s="9"/>
    </row>
    <row r="83" spans="9:10" ht="15.75" customHeight="1">
      <c r="I83" s="8"/>
      <c r="J83" s="9"/>
    </row>
    <row r="84" spans="9:10" ht="15.75" customHeight="1">
      <c r="I84" s="8"/>
      <c r="J84" s="9"/>
    </row>
    <row r="85" spans="9:10" ht="15.75" customHeight="1">
      <c r="I85" s="8"/>
      <c r="J85" s="9"/>
    </row>
    <row r="86" spans="9:10" ht="15.75" customHeight="1">
      <c r="I86" s="8"/>
      <c r="J86" s="9"/>
    </row>
    <row r="87" spans="9:10" ht="15.75" customHeight="1">
      <c r="I87" s="8"/>
      <c r="J87" s="9"/>
    </row>
    <row r="88" spans="9:10" ht="15.75" customHeight="1">
      <c r="I88" s="8"/>
      <c r="J88" s="9"/>
    </row>
    <row r="89" spans="9:10" ht="15.75" customHeight="1">
      <c r="I89" s="8"/>
      <c r="J89" s="9"/>
    </row>
    <row r="90" spans="9:10" ht="15.75" customHeight="1">
      <c r="I90" s="8"/>
      <c r="J90" s="9"/>
    </row>
    <row r="91" spans="9:10" ht="15.75" customHeight="1">
      <c r="I91" s="8"/>
      <c r="J91" s="9"/>
    </row>
    <row r="92" spans="9:10" ht="15.75" customHeight="1">
      <c r="I92" s="8"/>
      <c r="J92" s="9"/>
    </row>
    <row r="93" spans="9:10" ht="15.75" customHeight="1">
      <c r="I93" s="8"/>
      <c r="J93" s="9"/>
    </row>
    <row r="94" spans="9:10" ht="15.75" customHeight="1">
      <c r="I94" s="8"/>
      <c r="J94" s="9"/>
    </row>
    <row r="95" spans="9:10" ht="15.75" customHeight="1">
      <c r="I95" s="8"/>
      <c r="J95" s="9"/>
    </row>
    <row r="96" spans="9:10" ht="15.75" customHeight="1">
      <c r="I96" s="8"/>
      <c r="J96" s="9"/>
    </row>
    <row r="97" spans="9:10" ht="15.75" customHeight="1">
      <c r="I97" s="8"/>
      <c r="J97" s="9"/>
    </row>
    <row r="98" spans="9:10" ht="15.75" customHeight="1">
      <c r="I98" s="8"/>
      <c r="J98" s="9"/>
    </row>
    <row r="99" spans="9:10" ht="15.75" customHeight="1">
      <c r="I99" s="8"/>
      <c r="J99" s="9"/>
    </row>
    <row r="100" spans="9:10" ht="15.75" customHeight="1">
      <c r="I100" s="8"/>
      <c r="J100" s="9"/>
    </row>
    <row r="101" spans="9:10" ht="15.75" customHeight="1">
      <c r="I101" s="8"/>
      <c r="J101" s="9"/>
    </row>
    <row r="102" spans="9:10" ht="15.75" customHeight="1">
      <c r="I102" s="8"/>
      <c r="J102" s="9"/>
    </row>
    <row r="103" spans="9:10" ht="15.75" customHeight="1">
      <c r="I103" s="8"/>
      <c r="J103" s="9"/>
    </row>
    <row r="104" spans="9:10" ht="15.75" customHeight="1">
      <c r="I104" s="8"/>
      <c r="J104" s="9"/>
    </row>
    <row r="105" spans="9:10" ht="15.75" customHeight="1">
      <c r="I105" s="8"/>
      <c r="J105" s="9"/>
    </row>
    <row r="106" spans="9:10" ht="15.75" customHeight="1">
      <c r="I106" s="8"/>
      <c r="J106" s="9"/>
    </row>
    <row r="107" spans="9:10" ht="15.75" customHeight="1">
      <c r="I107" s="8"/>
      <c r="J107" s="9"/>
    </row>
    <row r="108" spans="9:10" ht="15.75" customHeight="1">
      <c r="I108" s="8"/>
      <c r="J108" s="9"/>
    </row>
    <row r="109" spans="9:10" ht="15.75" customHeight="1">
      <c r="I109" s="8"/>
      <c r="J109" s="9"/>
    </row>
    <row r="110" spans="9:10" ht="15.75" customHeight="1">
      <c r="I110" s="8"/>
      <c r="J110" s="9"/>
    </row>
    <row r="111" spans="9:10" ht="15.75" customHeight="1">
      <c r="I111" s="8"/>
      <c r="J111" s="9"/>
    </row>
    <row r="112" spans="9:10" ht="15.75" customHeight="1">
      <c r="I112" s="8"/>
      <c r="J112" s="9"/>
    </row>
    <row r="113" spans="9:10" ht="15.75" customHeight="1">
      <c r="I113" s="8"/>
      <c r="J113" s="9"/>
    </row>
    <row r="114" spans="9:10" ht="15.75" customHeight="1">
      <c r="I114" s="8"/>
      <c r="J114" s="9"/>
    </row>
    <row r="115" spans="9:10" ht="15.75" customHeight="1">
      <c r="I115" s="8"/>
      <c r="J115" s="9"/>
    </row>
    <row r="116" spans="9:10" ht="15.75" customHeight="1">
      <c r="I116" s="8"/>
      <c r="J116" s="9"/>
    </row>
    <row r="117" spans="9:10" ht="15.75" customHeight="1">
      <c r="I117" s="8"/>
      <c r="J117" s="9"/>
    </row>
    <row r="118" spans="9:10" ht="15.75" customHeight="1">
      <c r="I118" s="8"/>
      <c r="J118" s="9"/>
    </row>
    <row r="119" spans="9:10" ht="15.75" customHeight="1">
      <c r="I119" s="8"/>
      <c r="J119" s="9"/>
    </row>
    <row r="120" spans="9:10" ht="15.75" customHeight="1">
      <c r="I120" s="8"/>
      <c r="J120" s="9"/>
    </row>
    <row r="121" spans="9:10" ht="15.75" customHeight="1">
      <c r="I121" s="8"/>
      <c r="J121" s="9"/>
    </row>
    <row r="122" spans="9:10" ht="15.75" customHeight="1">
      <c r="I122" s="8"/>
      <c r="J122" s="9"/>
    </row>
    <row r="123" spans="9:10" ht="15.75" customHeight="1">
      <c r="I123" s="8"/>
      <c r="J123" s="9"/>
    </row>
    <row r="124" spans="9:10" ht="15.75" customHeight="1">
      <c r="I124" s="8"/>
      <c r="J124" s="9"/>
    </row>
    <row r="125" spans="9:10" ht="15.75" customHeight="1">
      <c r="I125" s="8"/>
      <c r="J125" s="9"/>
    </row>
    <row r="126" spans="9:10" ht="15.75" customHeight="1">
      <c r="I126" s="8"/>
      <c r="J126" s="9"/>
    </row>
    <row r="127" spans="9:10" ht="15.75" customHeight="1">
      <c r="I127" s="8"/>
      <c r="J127" s="9"/>
    </row>
    <row r="128" spans="9:10" ht="15.75" customHeight="1">
      <c r="I128" s="8"/>
      <c r="J128" s="9"/>
    </row>
    <row r="129" spans="9:10" ht="15.75" customHeight="1">
      <c r="I129" s="8"/>
      <c r="J129" s="9"/>
    </row>
    <row r="130" spans="9:10" ht="15.75" customHeight="1">
      <c r="I130" s="8"/>
      <c r="J130" s="9"/>
    </row>
    <row r="131" spans="9:10" ht="15.75" customHeight="1">
      <c r="I131" s="8"/>
      <c r="J131" s="9"/>
    </row>
    <row r="132" spans="9:10" ht="15.75" customHeight="1">
      <c r="I132" s="8"/>
      <c r="J132" s="9"/>
    </row>
    <row r="133" spans="9:10" ht="15.75" customHeight="1">
      <c r="I133" s="8"/>
      <c r="J133" s="9"/>
    </row>
    <row r="134" spans="9:10" ht="15.75" customHeight="1">
      <c r="I134" s="8"/>
      <c r="J134" s="9"/>
    </row>
    <row r="135" spans="9:10" ht="15.75" customHeight="1">
      <c r="I135" s="8"/>
      <c r="J135" s="9"/>
    </row>
    <row r="136" spans="9:10" ht="15.75" customHeight="1">
      <c r="I136" s="8"/>
      <c r="J136" s="9"/>
    </row>
    <row r="137" spans="9:10" ht="15.75" customHeight="1">
      <c r="I137" s="8"/>
      <c r="J137" s="9"/>
    </row>
    <row r="138" spans="9:10" ht="15.75" customHeight="1">
      <c r="I138" s="8"/>
      <c r="J138" s="9"/>
    </row>
    <row r="139" spans="9:10" ht="15.75" customHeight="1">
      <c r="I139" s="8"/>
      <c r="J139" s="9"/>
    </row>
    <row r="140" spans="9:10" ht="15.75" customHeight="1">
      <c r="I140" s="8"/>
      <c r="J140" s="9"/>
    </row>
    <row r="141" spans="9:10" ht="15.75" customHeight="1">
      <c r="I141" s="8"/>
      <c r="J141" s="9"/>
    </row>
    <row r="142" spans="9:10" ht="15.75" customHeight="1">
      <c r="I142" s="8"/>
      <c r="J142" s="9"/>
    </row>
    <row r="143" spans="9:10" ht="15.75" customHeight="1">
      <c r="I143" s="8"/>
      <c r="J143" s="9"/>
    </row>
    <row r="144" spans="9:10" ht="15.75" customHeight="1">
      <c r="I144" s="8"/>
      <c r="J144" s="9"/>
    </row>
    <row r="145" spans="9:10" ht="15.75" customHeight="1">
      <c r="I145" s="8"/>
      <c r="J145" s="9"/>
    </row>
    <row r="146" spans="9:10" ht="15.75" customHeight="1">
      <c r="I146" s="8"/>
      <c r="J146" s="9"/>
    </row>
    <row r="147" spans="9:10" ht="15.75" customHeight="1">
      <c r="I147" s="8"/>
      <c r="J147" s="9"/>
    </row>
    <row r="148" spans="9:10" ht="15.75" customHeight="1">
      <c r="I148" s="8"/>
      <c r="J148" s="9"/>
    </row>
    <row r="149" spans="9:10" ht="15.75" customHeight="1">
      <c r="I149" s="8"/>
      <c r="J149" s="9"/>
    </row>
    <row r="150" spans="9:10" ht="15.75" customHeight="1">
      <c r="I150" s="8"/>
      <c r="J150" s="9"/>
    </row>
    <row r="151" spans="9:10" ht="15.75" customHeight="1">
      <c r="I151" s="8"/>
      <c r="J151" s="9"/>
    </row>
    <row r="152" spans="9:10" ht="15.75" customHeight="1">
      <c r="I152" s="8"/>
      <c r="J152" s="9"/>
    </row>
    <row r="153" spans="9:10" ht="15.75" customHeight="1">
      <c r="I153" s="8"/>
      <c r="J153" s="9"/>
    </row>
    <row r="154" spans="9:10" ht="15.75" customHeight="1">
      <c r="I154" s="8"/>
      <c r="J154" s="9"/>
    </row>
    <row r="155" spans="9:10" ht="15.75" customHeight="1">
      <c r="I155" s="8"/>
      <c r="J155" s="9"/>
    </row>
    <row r="156" spans="9:10" ht="15.75" customHeight="1">
      <c r="I156" s="8"/>
      <c r="J156" s="9"/>
    </row>
    <row r="157" spans="9:10" ht="15.75" customHeight="1">
      <c r="I157" s="8"/>
      <c r="J157" s="9"/>
    </row>
    <row r="158" spans="9:10" ht="15.75" customHeight="1">
      <c r="I158" s="8"/>
      <c r="J158" s="9"/>
    </row>
    <row r="159" spans="9:10" ht="15.75" customHeight="1">
      <c r="I159" s="8"/>
      <c r="J159" s="9"/>
    </row>
    <row r="160" spans="9:10" ht="15.75" customHeight="1">
      <c r="I160" s="8"/>
      <c r="J160" s="9"/>
    </row>
    <row r="161" spans="9:10" ht="15.75" customHeight="1">
      <c r="I161" s="8"/>
      <c r="J161" s="9"/>
    </row>
    <row r="162" spans="9:10" ht="15.75" customHeight="1">
      <c r="I162" s="8"/>
      <c r="J162" s="9"/>
    </row>
    <row r="163" spans="9:10" ht="15.75" customHeight="1">
      <c r="I163" s="8"/>
      <c r="J163" s="9"/>
    </row>
    <row r="164" spans="9:10" ht="15.75" customHeight="1">
      <c r="I164" s="8"/>
      <c r="J164" s="9"/>
    </row>
    <row r="165" spans="9:10" ht="15.75" customHeight="1">
      <c r="I165" s="8"/>
      <c r="J165" s="9"/>
    </row>
    <row r="166" spans="9:10" ht="15.75" customHeight="1">
      <c r="I166" s="8"/>
      <c r="J166" s="9"/>
    </row>
    <row r="167" spans="9:10" ht="15.75" customHeight="1">
      <c r="I167" s="8"/>
      <c r="J167" s="9"/>
    </row>
    <row r="168" spans="9:10" ht="15.75" customHeight="1">
      <c r="I168" s="8"/>
      <c r="J168" s="9"/>
    </row>
    <row r="169" spans="9:10" ht="15.75" customHeight="1">
      <c r="I169" s="8"/>
      <c r="J169" s="9"/>
    </row>
    <row r="170" spans="9:10" ht="15.75" customHeight="1">
      <c r="I170" s="8"/>
      <c r="J170" s="9"/>
    </row>
    <row r="171" spans="9:10" ht="15.75" customHeight="1">
      <c r="I171" s="8"/>
      <c r="J171" s="9"/>
    </row>
    <row r="172" spans="9:10" ht="15.75" customHeight="1">
      <c r="I172" s="8"/>
      <c r="J172" s="9"/>
    </row>
    <row r="173" spans="9:10" ht="15.75" customHeight="1">
      <c r="I173" s="8"/>
      <c r="J173" s="9"/>
    </row>
    <row r="174" spans="9:10" ht="15.75" customHeight="1">
      <c r="I174" s="8"/>
      <c r="J174" s="9"/>
    </row>
    <row r="175" spans="9:10" ht="15.75" customHeight="1">
      <c r="I175" s="8"/>
      <c r="J175" s="9"/>
    </row>
    <row r="176" spans="9:10" ht="15.75" customHeight="1">
      <c r="I176" s="8"/>
      <c r="J176" s="9"/>
    </row>
    <row r="177" spans="9:10" ht="15.75" customHeight="1">
      <c r="I177" s="8"/>
      <c r="J177" s="9"/>
    </row>
    <row r="178" spans="9:10" ht="15.75" customHeight="1">
      <c r="I178" s="8"/>
      <c r="J178" s="9"/>
    </row>
    <row r="179" spans="9:10" ht="15.75" customHeight="1">
      <c r="I179" s="8"/>
      <c r="J179" s="9"/>
    </row>
    <row r="180" spans="9:10" ht="15.75" customHeight="1">
      <c r="I180" s="8"/>
      <c r="J180" s="9"/>
    </row>
    <row r="181" spans="9:10" ht="15.75" customHeight="1">
      <c r="I181" s="8"/>
      <c r="J181" s="9"/>
    </row>
    <row r="182" spans="9:10" ht="15.75" customHeight="1">
      <c r="I182" s="8"/>
      <c r="J182" s="9"/>
    </row>
    <row r="183" spans="9:10" ht="15.75" customHeight="1">
      <c r="I183" s="8"/>
      <c r="J183" s="9"/>
    </row>
    <row r="184" spans="9:10" ht="15.75" customHeight="1">
      <c r="I184" s="8"/>
      <c r="J184" s="9"/>
    </row>
    <row r="185" spans="9:10" ht="15.75" customHeight="1">
      <c r="I185" s="8"/>
      <c r="J185" s="9"/>
    </row>
    <row r="186" spans="9:10" ht="15.75" customHeight="1">
      <c r="I186" s="8"/>
      <c r="J186" s="9"/>
    </row>
    <row r="187" spans="9:10" ht="15.75" customHeight="1">
      <c r="I187" s="8"/>
      <c r="J187" s="9"/>
    </row>
    <row r="188" spans="9:10" ht="15.75" customHeight="1">
      <c r="I188" s="8"/>
      <c r="J188" s="9"/>
    </row>
    <row r="189" spans="9:10" ht="15.75" customHeight="1">
      <c r="I189" s="8"/>
      <c r="J189" s="9"/>
    </row>
    <row r="190" spans="9:10" ht="15.75" customHeight="1">
      <c r="I190" s="8"/>
      <c r="J190" s="9"/>
    </row>
    <row r="191" spans="9:10" ht="15.75" customHeight="1">
      <c r="I191" s="8"/>
      <c r="J191" s="9"/>
    </row>
    <row r="192" spans="9:10" ht="15.75" customHeight="1">
      <c r="I192" s="8"/>
      <c r="J192" s="9"/>
    </row>
    <row r="193" spans="9:10" ht="15.75" customHeight="1">
      <c r="I193" s="8"/>
      <c r="J193" s="9"/>
    </row>
    <row r="194" spans="9:10" ht="15.75" customHeight="1">
      <c r="I194" s="8"/>
      <c r="J194" s="9"/>
    </row>
    <row r="195" spans="9:10" ht="15.75" customHeight="1">
      <c r="I195" s="8"/>
      <c r="J195" s="9"/>
    </row>
    <row r="196" spans="9:10" ht="15.75" customHeight="1">
      <c r="I196" s="8"/>
      <c r="J196" s="9"/>
    </row>
    <row r="197" spans="9:10" ht="15.75" customHeight="1">
      <c r="I197" s="8"/>
      <c r="J197" s="9"/>
    </row>
    <row r="198" spans="9:10" ht="15.75" customHeight="1">
      <c r="I198" s="8"/>
      <c r="J198" s="9"/>
    </row>
    <row r="199" spans="9:10" ht="15.75" customHeight="1">
      <c r="I199" s="8"/>
      <c r="J199" s="9"/>
    </row>
    <row r="200" spans="9:10" ht="15.75" customHeight="1">
      <c r="I200" s="8"/>
      <c r="J200" s="9"/>
    </row>
    <row r="201" spans="9:10" ht="15.75" customHeight="1">
      <c r="I201" s="8"/>
      <c r="J201" s="9"/>
    </row>
    <row r="202" spans="9:10" ht="15.75" customHeight="1">
      <c r="I202" s="8"/>
      <c r="J202" s="9"/>
    </row>
    <row r="203" spans="9:10" ht="15.75" customHeight="1">
      <c r="I203" s="8"/>
      <c r="J203" s="9"/>
    </row>
    <row r="204" spans="9:10" ht="15.75" customHeight="1">
      <c r="I204" s="8"/>
      <c r="J204" s="9"/>
    </row>
    <row r="205" spans="9:10" ht="15.75" customHeight="1">
      <c r="I205" s="8"/>
      <c r="J205" s="9"/>
    </row>
    <row r="206" spans="9:10" ht="15.75" customHeight="1">
      <c r="I206" s="8"/>
      <c r="J206" s="9"/>
    </row>
    <row r="207" spans="9:10" ht="15.75" customHeight="1">
      <c r="I207" s="8"/>
      <c r="J207" s="9"/>
    </row>
    <row r="208" spans="9:10" ht="15.75" customHeight="1">
      <c r="I208" s="8"/>
      <c r="J208" s="9"/>
    </row>
    <row r="209" spans="9:10" ht="15.75" customHeight="1">
      <c r="I209" s="8"/>
      <c r="J209" s="9"/>
    </row>
    <row r="210" spans="9:10" ht="15.75" customHeight="1">
      <c r="I210" s="8"/>
      <c r="J210" s="9"/>
    </row>
    <row r="211" spans="9:10" ht="15.75" customHeight="1">
      <c r="I211" s="8"/>
      <c r="J211" s="9"/>
    </row>
    <row r="212" spans="9:10" ht="15.75" customHeight="1">
      <c r="I212" s="8"/>
      <c r="J212" s="9"/>
    </row>
    <row r="213" spans="9:10" ht="15.75" customHeight="1">
      <c r="I213" s="8"/>
      <c r="J213" s="9"/>
    </row>
    <row r="214" spans="9:10" ht="15.75" customHeight="1">
      <c r="I214" s="8"/>
      <c r="J214" s="9"/>
    </row>
    <row r="215" spans="9:10" ht="15.75" customHeight="1">
      <c r="I215" s="8"/>
      <c r="J215" s="9"/>
    </row>
    <row r="216" spans="9:10" ht="15.75" customHeight="1">
      <c r="I216" s="8"/>
      <c r="J216" s="9"/>
    </row>
    <row r="217" spans="9:10" ht="15.75" customHeight="1">
      <c r="I217" s="8"/>
      <c r="J217" s="9"/>
    </row>
    <row r="218" spans="9:10" ht="15.75" customHeight="1">
      <c r="I218" s="8"/>
      <c r="J218" s="9"/>
    </row>
    <row r="219" spans="9:10" ht="15.75" customHeight="1">
      <c r="I219" s="8"/>
      <c r="J219" s="9"/>
    </row>
    <row r="220" spans="9:10" ht="15.75" customHeight="1">
      <c r="I220" s="8"/>
      <c r="J220" s="9"/>
    </row>
    <row r="221" spans="9:10" ht="15.75" customHeight="1">
      <c r="I221" s="8"/>
      <c r="J221" s="9"/>
    </row>
    <row r="222" spans="9:10" ht="15.75" customHeight="1">
      <c r="I222" s="8"/>
      <c r="J222" s="9"/>
    </row>
    <row r="223" spans="9:10" ht="15.75" customHeight="1">
      <c r="I223" s="8"/>
      <c r="J223" s="9"/>
    </row>
    <row r="224" spans="9:10" ht="15.75" customHeight="1">
      <c r="I224" s="8"/>
      <c r="J224" s="9"/>
    </row>
    <row r="225" spans="9:10" ht="15.75" customHeight="1">
      <c r="I225" s="8"/>
      <c r="J225" s="9"/>
    </row>
    <row r="226" spans="9:10" ht="15.75" customHeight="1">
      <c r="I226" s="8"/>
      <c r="J226" s="9"/>
    </row>
    <row r="227" spans="9:10" ht="15.75" customHeight="1">
      <c r="I227" s="8"/>
      <c r="J227" s="9"/>
    </row>
    <row r="228" spans="9:10" ht="15.75" customHeight="1">
      <c r="I228" s="8"/>
      <c r="J228" s="9"/>
    </row>
    <row r="229" spans="9:10" ht="15.75" customHeight="1">
      <c r="I229" s="8"/>
      <c r="J229" s="9"/>
    </row>
    <row r="230" spans="9:10" ht="15.75" customHeight="1">
      <c r="I230" s="8"/>
      <c r="J230" s="9"/>
    </row>
    <row r="231" spans="9:10" ht="15.75" customHeight="1">
      <c r="I231" s="8"/>
      <c r="J231" s="9"/>
    </row>
    <row r="232" spans="9:10" ht="15.75" customHeight="1">
      <c r="I232" s="8"/>
      <c r="J232" s="9"/>
    </row>
    <row r="233" spans="9:10" ht="15.75" customHeight="1">
      <c r="I233" s="8"/>
      <c r="J233" s="9"/>
    </row>
    <row r="234" spans="9:10" ht="15.75" customHeight="1">
      <c r="I234" s="8"/>
      <c r="J234" s="9"/>
    </row>
    <row r="235" spans="9:10" ht="15.75" customHeight="1">
      <c r="I235" s="8"/>
      <c r="J235" s="9"/>
    </row>
    <row r="236" spans="9:10" ht="15.75" customHeight="1">
      <c r="I236" s="8"/>
      <c r="J236" s="9"/>
    </row>
    <row r="237" spans="9:10" ht="15.75" customHeight="1">
      <c r="I237" s="8"/>
      <c r="J237" s="9"/>
    </row>
    <row r="238" spans="9:10" ht="15.75" customHeight="1">
      <c r="I238" s="8"/>
      <c r="J238" s="9"/>
    </row>
    <row r="239" spans="9:10" ht="15.75" customHeight="1">
      <c r="I239" s="8"/>
      <c r="J239" s="9"/>
    </row>
    <row r="240" spans="9:10" ht="15.75" customHeight="1">
      <c r="I240" s="8"/>
      <c r="J240" s="9"/>
    </row>
    <row r="241" spans="9:10" ht="15.75" customHeight="1">
      <c r="I241" s="8"/>
      <c r="J241" s="9"/>
    </row>
    <row r="242" spans="9:10" ht="15.75" customHeight="1">
      <c r="I242" s="8"/>
      <c r="J242" s="9"/>
    </row>
    <row r="243" spans="9:10" ht="15.75" customHeight="1">
      <c r="I243" s="8"/>
      <c r="J243" s="9"/>
    </row>
    <row r="244" spans="9:10" ht="15.75" customHeight="1">
      <c r="I244" s="8"/>
      <c r="J244" s="9"/>
    </row>
    <row r="245" spans="9:10" ht="15.75" customHeight="1">
      <c r="I245" s="8"/>
      <c r="J245" s="9"/>
    </row>
    <row r="246" spans="9:10" ht="15.75" customHeight="1">
      <c r="I246" s="8"/>
      <c r="J246" s="9"/>
    </row>
    <row r="247" spans="9:10" ht="15.75" customHeight="1">
      <c r="I247" s="8"/>
      <c r="J247" s="9"/>
    </row>
    <row r="248" spans="9:10" ht="15.75" customHeight="1">
      <c r="I248" s="8"/>
      <c r="J248" s="9"/>
    </row>
    <row r="249" spans="9:10" ht="15.75" customHeight="1">
      <c r="I249" s="8"/>
      <c r="J249" s="9"/>
    </row>
    <row r="250" spans="9:10" ht="15.75" customHeight="1">
      <c r="I250" s="8"/>
      <c r="J250" s="9"/>
    </row>
    <row r="251" spans="9:10" ht="15.75" customHeight="1">
      <c r="I251" s="8"/>
      <c r="J251" s="9"/>
    </row>
    <row r="252" spans="9:10" ht="15.75" customHeight="1">
      <c r="I252" s="8"/>
      <c r="J252" s="9"/>
    </row>
    <row r="253" spans="9:10" ht="15.75" customHeight="1">
      <c r="I253" s="8"/>
      <c r="J253" s="9"/>
    </row>
    <row r="254" spans="9:10" ht="15.75" customHeight="1">
      <c r="I254" s="8"/>
      <c r="J254" s="9"/>
    </row>
    <row r="255" spans="9:10" ht="15.75" customHeight="1">
      <c r="I255" s="8"/>
      <c r="J255" s="9"/>
    </row>
    <row r="256" spans="9:10" ht="15.75" customHeight="1">
      <c r="I256" s="8"/>
      <c r="J256" s="9"/>
    </row>
    <row r="257" spans="9:10" ht="15.75" customHeight="1">
      <c r="I257" s="8"/>
      <c r="J257" s="9"/>
    </row>
    <row r="258" spans="9:10" ht="15.75" customHeight="1">
      <c r="I258" s="8"/>
      <c r="J258" s="9"/>
    </row>
    <row r="259" spans="9:10" ht="15.75" customHeight="1">
      <c r="I259" s="8"/>
      <c r="J259" s="9"/>
    </row>
    <row r="260" spans="9:10" ht="15.75" customHeight="1">
      <c r="I260" s="8"/>
      <c r="J260" s="9"/>
    </row>
    <row r="261" spans="9:10" ht="15.75" customHeight="1">
      <c r="I261" s="8"/>
      <c r="J261" s="9"/>
    </row>
    <row r="262" spans="9:10" ht="15.75" customHeight="1">
      <c r="I262" s="8"/>
      <c r="J262" s="9"/>
    </row>
    <row r="263" spans="9:10" ht="15.75" customHeight="1">
      <c r="I263" s="8"/>
      <c r="J263" s="9"/>
    </row>
    <row r="264" spans="9:10" ht="15.75" customHeight="1">
      <c r="I264" s="8"/>
      <c r="J264" s="9"/>
    </row>
    <row r="265" spans="9:10" ht="15.75" customHeight="1">
      <c r="I265" s="8"/>
      <c r="J265" s="9"/>
    </row>
    <row r="266" spans="9:10" ht="15.75" customHeight="1">
      <c r="I266" s="8"/>
      <c r="J266" s="9"/>
    </row>
    <row r="267" spans="9:10" ht="15.75" customHeight="1">
      <c r="I267" s="8"/>
      <c r="J267" s="9"/>
    </row>
    <row r="268" spans="9:10" ht="15.75" customHeight="1">
      <c r="I268" s="8"/>
      <c r="J268" s="9"/>
    </row>
    <row r="269" spans="9:10" ht="15.75" customHeight="1">
      <c r="I269" s="8"/>
      <c r="J269" s="9"/>
    </row>
    <row r="270" spans="9:10" ht="15.75" customHeight="1">
      <c r="I270" s="8"/>
      <c r="J270" s="9"/>
    </row>
    <row r="271" spans="9:10" ht="15.75" customHeight="1">
      <c r="I271" s="8"/>
      <c r="J271" s="9"/>
    </row>
    <row r="272" spans="9:10" ht="15.75" customHeight="1">
      <c r="I272" s="8"/>
      <c r="J272" s="9"/>
    </row>
    <row r="273" spans="9:10" ht="15.75" customHeight="1">
      <c r="I273" s="8"/>
      <c r="J273" s="9"/>
    </row>
    <row r="274" spans="9:10" ht="15.75" customHeight="1">
      <c r="I274" s="8"/>
      <c r="J274" s="9"/>
    </row>
    <row r="275" spans="9:10" ht="15.75" customHeight="1">
      <c r="I275" s="8"/>
      <c r="J275" s="9"/>
    </row>
    <row r="276" spans="9:10" ht="15.75" customHeight="1">
      <c r="I276" s="8"/>
      <c r="J276" s="9"/>
    </row>
    <row r="277" spans="9:10" ht="15.75" customHeight="1">
      <c r="I277" s="8"/>
      <c r="J277" s="9"/>
    </row>
    <row r="278" spans="9:10" ht="15.75" customHeight="1">
      <c r="I278" s="8"/>
      <c r="J278" s="9"/>
    </row>
    <row r="279" spans="9:10" ht="15.75" customHeight="1">
      <c r="I279" s="8"/>
      <c r="J279" s="9"/>
    </row>
    <row r="280" spans="9:10" ht="15.75" customHeight="1">
      <c r="I280" s="8"/>
      <c r="J280" s="9"/>
    </row>
    <row r="281" spans="9:10" ht="15.75" customHeight="1">
      <c r="I281" s="8"/>
      <c r="J281" s="9"/>
    </row>
    <row r="282" spans="9:10" ht="15.75" customHeight="1">
      <c r="I282" s="8"/>
      <c r="J282" s="9"/>
    </row>
    <row r="283" spans="9:10" ht="15.75" customHeight="1">
      <c r="I283" s="8"/>
      <c r="J283" s="9"/>
    </row>
    <row r="284" spans="9:10" ht="15.75" customHeight="1">
      <c r="I284" s="8"/>
      <c r="J284" s="9"/>
    </row>
    <row r="285" spans="9:10" ht="15.75" customHeight="1">
      <c r="I285" s="8"/>
      <c r="J285" s="9"/>
    </row>
    <row r="286" spans="9:10" ht="15.75" customHeight="1">
      <c r="I286" s="8"/>
      <c r="J286" s="9"/>
    </row>
    <row r="287" spans="9:10" ht="15.75" customHeight="1">
      <c r="I287" s="8"/>
      <c r="J287" s="9"/>
    </row>
    <row r="288" spans="9:10" ht="15.75" customHeight="1">
      <c r="I288" s="8"/>
      <c r="J288" s="9"/>
    </row>
    <row r="289" spans="9:10" ht="15.75" customHeight="1">
      <c r="I289" s="8"/>
      <c r="J289" s="9"/>
    </row>
    <row r="290" spans="9:10" ht="15.75" customHeight="1">
      <c r="I290" s="8"/>
      <c r="J290" s="9"/>
    </row>
    <row r="291" spans="9:10" ht="15.75" customHeight="1">
      <c r="I291" s="8"/>
      <c r="J291" s="9"/>
    </row>
    <row r="292" spans="9:10" ht="15.75" customHeight="1">
      <c r="I292" s="8"/>
      <c r="J292" s="9"/>
    </row>
    <row r="293" spans="9:10" ht="15.75" customHeight="1">
      <c r="I293" s="8"/>
      <c r="J293" s="9"/>
    </row>
    <row r="294" spans="9:10" ht="15.75" customHeight="1">
      <c r="I294" s="8"/>
      <c r="J294" s="9"/>
    </row>
    <row r="295" spans="9:10" ht="15.75" customHeight="1">
      <c r="I295" s="8"/>
      <c r="J295" s="9"/>
    </row>
    <row r="296" spans="9:10" ht="15.75" customHeight="1">
      <c r="I296" s="8"/>
      <c r="J296" s="9"/>
    </row>
    <row r="297" spans="9:10" ht="15.75" customHeight="1">
      <c r="I297" s="8"/>
      <c r="J297" s="9"/>
    </row>
    <row r="298" spans="9:10" ht="15.75" customHeight="1">
      <c r="I298" s="8"/>
      <c r="J298" s="9"/>
    </row>
    <row r="299" spans="9:10" ht="15.75" customHeight="1">
      <c r="I299" s="8"/>
      <c r="J299" s="9"/>
    </row>
    <row r="300" spans="9:10" ht="15.75" customHeight="1">
      <c r="I300" s="8"/>
      <c r="J300" s="9"/>
    </row>
    <row r="301" spans="9:10" ht="15.75" customHeight="1">
      <c r="I301" s="8"/>
      <c r="J301" s="9"/>
    </row>
    <row r="302" spans="9:10" ht="15.75" customHeight="1">
      <c r="I302" s="8"/>
      <c r="J302" s="9"/>
    </row>
    <row r="303" spans="9:10" ht="15.75" customHeight="1">
      <c r="I303" s="8"/>
      <c r="J303" s="9"/>
    </row>
    <row r="304" spans="9:10" ht="15.75" customHeight="1">
      <c r="I304" s="8"/>
      <c r="J304" s="9"/>
    </row>
    <row r="305" spans="9:10" ht="15.75" customHeight="1">
      <c r="I305" s="8"/>
      <c r="J305" s="9"/>
    </row>
    <row r="306" spans="9:10" ht="15.75" customHeight="1">
      <c r="I306" s="8"/>
      <c r="J306" s="9"/>
    </row>
    <row r="307" spans="9:10" ht="15.75" customHeight="1">
      <c r="I307" s="8"/>
      <c r="J307" s="9"/>
    </row>
    <row r="308" spans="9:10" ht="15.75" customHeight="1">
      <c r="I308" s="8"/>
      <c r="J308" s="9"/>
    </row>
    <row r="309" spans="9:10" ht="15.75" customHeight="1">
      <c r="I309" s="8"/>
      <c r="J309" s="9"/>
    </row>
    <row r="310" spans="9:10" ht="15.75" customHeight="1">
      <c r="I310" s="8"/>
      <c r="J310" s="9"/>
    </row>
    <row r="311" spans="9:10" ht="15.75" customHeight="1">
      <c r="I311" s="8"/>
      <c r="J311" s="9"/>
    </row>
    <row r="312" spans="9:10" ht="15.75" customHeight="1">
      <c r="I312" s="8"/>
      <c r="J312" s="9"/>
    </row>
    <row r="313" spans="9:10" ht="15.75" customHeight="1">
      <c r="I313" s="8"/>
      <c r="J313" s="9"/>
    </row>
    <row r="314" spans="9:10" ht="15.75" customHeight="1">
      <c r="I314" s="8"/>
      <c r="J314" s="9"/>
    </row>
    <row r="315" spans="9:10" ht="15.75" customHeight="1">
      <c r="I315" s="8"/>
      <c r="J315" s="9"/>
    </row>
    <row r="316" spans="9:10" ht="15.75" customHeight="1">
      <c r="I316" s="8"/>
      <c r="J316" s="9"/>
    </row>
    <row r="317" spans="9:10" ht="15.75" customHeight="1">
      <c r="I317" s="8"/>
      <c r="J317" s="9"/>
    </row>
    <row r="318" spans="9:10" ht="15.75" customHeight="1">
      <c r="I318" s="8"/>
      <c r="J318" s="9"/>
    </row>
    <row r="319" spans="9:10" ht="15.75" customHeight="1">
      <c r="I319" s="8"/>
      <c r="J319" s="9"/>
    </row>
    <row r="320" spans="9:10" ht="15.75" customHeight="1">
      <c r="I320" s="8"/>
      <c r="J320" s="9"/>
    </row>
    <row r="321" spans="9:10" ht="15.75" customHeight="1">
      <c r="I321" s="8"/>
      <c r="J321" s="9"/>
    </row>
    <row r="322" spans="9:10" ht="15.75" customHeight="1">
      <c r="I322" s="8"/>
      <c r="J322" s="9"/>
    </row>
    <row r="323" spans="9:10" ht="15.75" customHeight="1">
      <c r="I323" s="8"/>
      <c r="J323" s="9"/>
    </row>
    <row r="324" spans="9:10" ht="15.75" customHeight="1">
      <c r="I324" s="8"/>
      <c r="J324" s="9"/>
    </row>
    <row r="325" spans="9:10" ht="15.75" customHeight="1">
      <c r="I325" s="8"/>
      <c r="J325" s="9"/>
    </row>
    <row r="326" spans="9:10" ht="15.75" customHeight="1">
      <c r="I326" s="8"/>
      <c r="J326" s="9"/>
    </row>
    <row r="327" spans="9:10" ht="15.75" customHeight="1">
      <c r="I327" s="8"/>
      <c r="J327" s="9"/>
    </row>
    <row r="328" spans="9:10" ht="15.75" customHeight="1">
      <c r="I328" s="8"/>
      <c r="J328" s="9"/>
    </row>
    <row r="329" spans="9:10" ht="15.75" customHeight="1">
      <c r="I329" s="8"/>
      <c r="J329" s="9"/>
    </row>
    <row r="330" spans="9:10" ht="15.75" customHeight="1">
      <c r="I330" s="8"/>
      <c r="J330" s="9"/>
    </row>
    <row r="331" spans="9:10" ht="15.75" customHeight="1">
      <c r="I331" s="8"/>
      <c r="J331" s="9"/>
    </row>
    <row r="332" spans="9:10" ht="15.75" customHeight="1">
      <c r="I332" s="8"/>
      <c r="J332" s="9"/>
    </row>
    <row r="333" spans="9:10" ht="15.75" customHeight="1">
      <c r="I333" s="8"/>
      <c r="J333" s="9"/>
    </row>
    <row r="334" spans="9:10" ht="15.75" customHeight="1">
      <c r="I334" s="8"/>
      <c r="J334" s="9"/>
    </row>
    <row r="335" spans="9:10" ht="15.75" customHeight="1">
      <c r="I335" s="8"/>
      <c r="J335" s="9"/>
    </row>
    <row r="336" spans="9:10" ht="15.75" customHeight="1">
      <c r="I336" s="8"/>
      <c r="J336" s="9"/>
    </row>
    <row r="337" spans="9:10" ht="15.75" customHeight="1">
      <c r="I337" s="8"/>
      <c r="J337" s="9"/>
    </row>
    <row r="338" spans="9:10" ht="15.75" customHeight="1">
      <c r="I338" s="8"/>
      <c r="J338" s="9"/>
    </row>
    <row r="339" spans="9:10" ht="15.75" customHeight="1">
      <c r="I339" s="8"/>
      <c r="J339" s="9"/>
    </row>
    <row r="340" spans="9:10" ht="15.75" customHeight="1">
      <c r="I340" s="8"/>
      <c r="J340" s="9"/>
    </row>
    <row r="341" spans="9:10" ht="15.75" customHeight="1">
      <c r="I341" s="8"/>
      <c r="J341" s="9"/>
    </row>
    <row r="342" spans="9:10" ht="15.75" customHeight="1">
      <c r="I342" s="8"/>
      <c r="J342" s="9"/>
    </row>
    <row r="343" spans="9:10" ht="15.75" customHeight="1">
      <c r="I343" s="8"/>
      <c r="J343" s="9"/>
    </row>
    <row r="344" spans="9:10" ht="15.75" customHeight="1">
      <c r="I344" s="8"/>
      <c r="J344" s="9"/>
    </row>
    <row r="345" spans="9:10" ht="15.75" customHeight="1">
      <c r="I345" s="8"/>
      <c r="J345" s="9"/>
    </row>
    <row r="346" spans="9:10" ht="15.75" customHeight="1">
      <c r="I346" s="8"/>
      <c r="J346" s="9"/>
    </row>
    <row r="347" spans="9:10" ht="15.75" customHeight="1">
      <c r="I347" s="8"/>
      <c r="J347" s="9"/>
    </row>
    <row r="348" spans="9:10" ht="15.75" customHeight="1">
      <c r="I348" s="8"/>
      <c r="J348" s="9"/>
    </row>
    <row r="349" spans="9:10" ht="15.75" customHeight="1">
      <c r="I349" s="8"/>
      <c r="J349" s="9"/>
    </row>
    <row r="350" spans="9:10" ht="15.75" customHeight="1">
      <c r="I350" s="8"/>
      <c r="J350" s="9"/>
    </row>
    <row r="351" spans="9:10" ht="15.75" customHeight="1">
      <c r="I351" s="8"/>
      <c r="J351" s="9"/>
    </row>
    <row r="352" spans="9:10" ht="15.75" customHeight="1">
      <c r="I352" s="8"/>
      <c r="J352" s="9"/>
    </row>
    <row r="353" spans="9:10" ht="15.75" customHeight="1">
      <c r="I353" s="8"/>
      <c r="J353" s="9"/>
    </row>
    <row r="354" spans="9:10" ht="15.75" customHeight="1">
      <c r="I354" s="8"/>
      <c r="J354" s="9"/>
    </row>
    <row r="355" spans="9:10" ht="15.75" customHeight="1">
      <c r="I355" s="8"/>
      <c r="J355" s="9"/>
    </row>
    <row r="356" spans="9:10" ht="15.75" customHeight="1">
      <c r="I356" s="8"/>
      <c r="J356" s="9"/>
    </row>
    <row r="357" spans="9:10" ht="15.75" customHeight="1">
      <c r="I357" s="8"/>
      <c r="J357" s="9"/>
    </row>
    <row r="358" spans="9:10" ht="15.75" customHeight="1">
      <c r="I358" s="8"/>
      <c r="J358" s="9"/>
    </row>
    <row r="359" spans="9:10" ht="15.75" customHeight="1">
      <c r="I359" s="8"/>
      <c r="J359" s="9"/>
    </row>
    <row r="360" spans="9:10" ht="15.75" customHeight="1">
      <c r="I360" s="8"/>
      <c r="J360" s="9"/>
    </row>
    <row r="361" spans="9:10" ht="15.75" customHeight="1">
      <c r="I361" s="8"/>
      <c r="J361" s="9"/>
    </row>
    <row r="362" spans="9:10" ht="15.75" customHeight="1">
      <c r="I362" s="8"/>
      <c r="J362" s="9"/>
    </row>
    <row r="363" spans="9:10" ht="15.75" customHeight="1">
      <c r="I363" s="8"/>
      <c r="J363" s="9"/>
    </row>
    <row r="364" spans="9:10" ht="15.75" customHeight="1">
      <c r="I364" s="8"/>
      <c r="J364" s="9"/>
    </row>
    <row r="365" spans="9:10" ht="15.75" customHeight="1">
      <c r="I365" s="8"/>
      <c r="J365" s="9"/>
    </row>
    <row r="366" spans="9:10" ht="15.75" customHeight="1">
      <c r="I366" s="8"/>
      <c r="J366" s="9"/>
    </row>
    <row r="367" spans="9:10" ht="15.75" customHeight="1">
      <c r="I367" s="8"/>
      <c r="J367" s="9"/>
    </row>
    <row r="368" spans="9:10" ht="15.75" customHeight="1">
      <c r="I368" s="8"/>
      <c r="J368" s="9"/>
    </row>
    <row r="369" spans="9:10" ht="15.75" customHeight="1">
      <c r="I369" s="8"/>
      <c r="J369" s="9"/>
    </row>
    <row r="370" spans="9:10" ht="15.75" customHeight="1">
      <c r="I370" s="8"/>
      <c r="J370" s="9"/>
    </row>
    <row r="371" spans="9:10" ht="15.75" customHeight="1">
      <c r="I371" s="8"/>
      <c r="J371" s="9"/>
    </row>
    <row r="372" spans="9:10" ht="15.75" customHeight="1">
      <c r="I372" s="8"/>
      <c r="J372" s="9"/>
    </row>
    <row r="373" spans="9:10" ht="15.75" customHeight="1">
      <c r="I373" s="8"/>
      <c r="J373" s="9"/>
    </row>
    <row r="374" spans="9:10" ht="15.75" customHeight="1">
      <c r="I374" s="8"/>
      <c r="J374" s="9"/>
    </row>
    <row r="375" spans="9:10" ht="15.75" customHeight="1">
      <c r="I375" s="8"/>
      <c r="J375" s="9"/>
    </row>
    <row r="376" spans="9:10" ht="15.75" customHeight="1">
      <c r="I376" s="8"/>
      <c r="J376" s="9"/>
    </row>
    <row r="377" spans="9:10" ht="15.75" customHeight="1">
      <c r="I377" s="8"/>
      <c r="J377" s="9"/>
    </row>
    <row r="378" spans="9:10" ht="15.75" customHeight="1">
      <c r="I378" s="8"/>
      <c r="J378" s="9"/>
    </row>
    <row r="379" spans="9:10" ht="15.75" customHeight="1">
      <c r="I379" s="8"/>
      <c r="J379" s="9"/>
    </row>
    <row r="380" spans="9:10" ht="15.75" customHeight="1">
      <c r="I380" s="8"/>
      <c r="J380" s="9"/>
    </row>
    <row r="381" spans="9:10" ht="15.75" customHeight="1">
      <c r="I381" s="8"/>
      <c r="J381" s="9"/>
    </row>
    <row r="382" spans="9:10" ht="15.75" customHeight="1">
      <c r="I382" s="8"/>
      <c r="J382" s="9"/>
    </row>
    <row r="383" spans="9:10" ht="15.75" customHeight="1">
      <c r="I383" s="8"/>
      <c r="J383" s="9"/>
    </row>
    <row r="384" spans="9:10" ht="15.75" customHeight="1">
      <c r="I384" s="8"/>
      <c r="J384" s="9"/>
    </row>
    <row r="385" spans="9:10" ht="15.75" customHeight="1">
      <c r="I385" s="8"/>
      <c r="J385" s="9"/>
    </row>
    <row r="386" spans="9:10" ht="15.75" customHeight="1">
      <c r="I386" s="8"/>
      <c r="J386" s="9"/>
    </row>
    <row r="387" spans="9:10" ht="15.75" customHeight="1">
      <c r="I387" s="8"/>
      <c r="J387" s="9"/>
    </row>
    <row r="388" spans="9:10" ht="15.75" customHeight="1">
      <c r="I388" s="8"/>
      <c r="J388" s="9"/>
    </row>
    <row r="389" spans="9:10" ht="15.75" customHeight="1">
      <c r="I389" s="8"/>
      <c r="J389" s="9"/>
    </row>
    <row r="390" spans="9:10" ht="15.75" customHeight="1">
      <c r="I390" s="8"/>
      <c r="J390" s="9"/>
    </row>
    <row r="391" spans="9:10" ht="15.75" customHeight="1">
      <c r="I391" s="8"/>
      <c r="J391" s="9"/>
    </row>
    <row r="392" spans="9:10" ht="15.75" customHeight="1">
      <c r="I392" s="8"/>
      <c r="J392" s="9"/>
    </row>
    <row r="393" spans="9:10" ht="15.75" customHeight="1">
      <c r="I393" s="8"/>
      <c r="J393" s="9"/>
    </row>
    <row r="394" spans="9:10" ht="15.75" customHeight="1">
      <c r="I394" s="8"/>
      <c r="J394" s="9"/>
    </row>
    <row r="395" spans="9:10" ht="15.75" customHeight="1">
      <c r="I395" s="8"/>
      <c r="J395" s="9"/>
    </row>
    <row r="396" spans="9:10" ht="15.75" customHeight="1">
      <c r="I396" s="8"/>
      <c r="J396" s="9"/>
    </row>
    <row r="397" spans="9:10" ht="15.75" customHeight="1">
      <c r="I397" s="8"/>
      <c r="J397" s="9"/>
    </row>
    <row r="398" spans="9:10" ht="15.75" customHeight="1">
      <c r="I398" s="8"/>
      <c r="J398" s="9"/>
    </row>
    <row r="399" spans="9:10" ht="15.75" customHeight="1">
      <c r="I399" s="8"/>
      <c r="J399" s="9"/>
    </row>
    <row r="400" spans="9:10" ht="15.75" customHeight="1">
      <c r="I400" s="8"/>
      <c r="J400" s="9"/>
    </row>
    <row r="401" spans="9:10" ht="15.75" customHeight="1">
      <c r="I401" s="8"/>
      <c r="J401" s="9"/>
    </row>
    <row r="402" spans="9:10" ht="15.75" customHeight="1">
      <c r="I402" s="8"/>
      <c r="J402" s="9"/>
    </row>
    <row r="403" spans="9:10" ht="15.75" customHeight="1">
      <c r="I403" s="8"/>
      <c r="J403" s="9"/>
    </row>
    <row r="404" spans="9:10" ht="15.75" customHeight="1">
      <c r="I404" s="8"/>
      <c r="J404" s="9"/>
    </row>
    <row r="405" spans="9:10" ht="15.75" customHeight="1">
      <c r="I405" s="8"/>
      <c r="J405" s="9"/>
    </row>
    <row r="406" spans="9:10" ht="15.75" customHeight="1">
      <c r="I406" s="8"/>
      <c r="J406" s="9"/>
    </row>
    <row r="407" spans="9:10" ht="15.75" customHeight="1">
      <c r="I407" s="8"/>
      <c r="J407" s="9"/>
    </row>
    <row r="408" spans="9:10" ht="15.75" customHeight="1">
      <c r="I408" s="8"/>
      <c r="J408" s="9"/>
    </row>
    <row r="409" spans="9:10" ht="15.75" customHeight="1">
      <c r="I409" s="8"/>
      <c r="J409" s="9"/>
    </row>
    <row r="410" spans="9:10" ht="15.75" customHeight="1">
      <c r="I410" s="8"/>
      <c r="J410" s="9"/>
    </row>
    <row r="411" spans="9:10" ht="15.75" customHeight="1">
      <c r="I411" s="8"/>
      <c r="J411" s="9"/>
    </row>
    <row r="412" spans="9:10" ht="15.75" customHeight="1">
      <c r="I412" s="8"/>
      <c r="J412" s="9"/>
    </row>
    <row r="413" spans="9:10" ht="15.75" customHeight="1">
      <c r="I413" s="8"/>
      <c r="J413" s="9"/>
    </row>
    <row r="414" spans="9:10" ht="15.75" customHeight="1">
      <c r="I414" s="8"/>
      <c r="J414" s="9"/>
    </row>
    <row r="415" spans="9:10" ht="15.75" customHeight="1">
      <c r="I415" s="8"/>
      <c r="J415" s="9"/>
    </row>
    <row r="416" spans="9:10" ht="15.75" customHeight="1">
      <c r="I416" s="8"/>
      <c r="J416" s="9"/>
    </row>
    <row r="417" spans="9:10" ht="15.75" customHeight="1">
      <c r="I417" s="8"/>
      <c r="J417" s="9"/>
    </row>
    <row r="418" spans="9:10" ht="15.75" customHeight="1">
      <c r="I418" s="8"/>
      <c r="J418" s="9"/>
    </row>
    <row r="419" spans="9:10" ht="15.75" customHeight="1">
      <c r="I419" s="8"/>
      <c r="J419" s="9"/>
    </row>
    <row r="420" spans="9:10" ht="15.75" customHeight="1">
      <c r="I420" s="8"/>
      <c r="J420" s="9"/>
    </row>
    <row r="421" spans="9:10" ht="15.75" customHeight="1">
      <c r="I421" s="8"/>
      <c r="J421" s="9"/>
    </row>
    <row r="422" spans="9:10" ht="15.75" customHeight="1">
      <c r="I422" s="8"/>
      <c r="J422" s="9"/>
    </row>
    <row r="423" spans="9:10" ht="15.75" customHeight="1">
      <c r="I423" s="8"/>
      <c r="J423" s="9"/>
    </row>
    <row r="424" spans="9:10" ht="15.75" customHeight="1">
      <c r="I424" s="8"/>
      <c r="J424" s="9"/>
    </row>
    <row r="425" spans="9:10" ht="15.75" customHeight="1">
      <c r="I425" s="8"/>
      <c r="J425" s="9"/>
    </row>
    <row r="426" spans="9:10" ht="15.75" customHeight="1">
      <c r="I426" s="8"/>
      <c r="J426" s="9"/>
    </row>
    <row r="427" spans="9:10" ht="15.75" customHeight="1">
      <c r="I427" s="8"/>
      <c r="J427" s="9"/>
    </row>
    <row r="428" spans="9:10" ht="15.75" customHeight="1">
      <c r="I428" s="8"/>
      <c r="J428" s="9"/>
    </row>
    <row r="429" spans="9:10" ht="15.75" customHeight="1">
      <c r="I429" s="8"/>
      <c r="J429" s="9"/>
    </row>
    <row r="430" spans="9:10" ht="15.75" customHeight="1">
      <c r="I430" s="8"/>
      <c r="J430" s="9"/>
    </row>
    <row r="431" spans="9:10" ht="15.75" customHeight="1">
      <c r="I431" s="8"/>
      <c r="J431" s="9"/>
    </row>
    <row r="432" spans="9:10" ht="15.75" customHeight="1">
      <c r="I432" s="8"/>
      <c r="J432" s="9"/>
    </row>
    <row r="433" spans="9:10" ht="15.75" customHeight="1">
      <c r="I433" s="8"/>
      <c r="J433" s="9"/>
    </row>
    <row r="434" spans="9:10" ht="15.75" customHeight="1">
      <c r="I434" s="8"/>
      <c r="J434" s="9"/>
    </row>
    <row r="435" spans="9:10" ht="15.75" customHeight="1">
      <c r="I435" s="8"/>
      <c r="J435" s="9"/>
    </row>
    <row r="436" spans="9:10" ht="15.75" customHeight="1">
      <c r="I436" s="8"/>
      <c r="J436" s="9"/>
    </row>
    <row r="437" spans="9:10" ht="15.75" customHeight="1">
      <c r="I437" s="8"/>
      <c r="J437" s="9"/>
    </row>
    <row r="438" spans="9:10" ht="15.75" customHeight="1">
      <c r="I438" s="8"/>
      <c r="J438" s="9"/>
    </row>
    <row r="439" spans="9:10" ht="15.75" customHeight="1">
      <c r="I439" s="8"/>
      <c r="J439" s="9"/>
    </row>
    <row r="440" spans="9:10" ht="15.75" customHeight="1">
      <c r="I440" s="8"/>
      <c r="J440" s="9"/>
    </row>
    <row r="441" spans="9:10" ht="15.75" customHeight="1">
      <c r="I441" s="8"/>
      <c r="J441" s="9"/>
    </row>
    <row r="442" spans="9:10" ht="15.75" customHeight="1">
      <c r="I442" s="8"/>
      <c r="J442" s="9"/>
    </row>
    <row r="443" spans="9:10" ht="15.75" customHeight="1">
      <c r="I443" s="8"/>
      <c r="J443" s="9"/>
    </row>
    <row r="444" spans="9:10" ht="15.75" customHeight="1">
      <c r="I444" s="8"/>
      <c r="J444" s="9"/>
    </row>
    <row r="445" spans="9:10" ht="15.75" customHeight="1">
      <c r="I445" s="8"/>
      <c r="J445" s="9"/>
    </row>
    <row r="446" spans="9:10" ht="15.75" customHeight="1">
      <c r="I446" s="8"/>
      <c r="J446" s="9"/>
    </row>
    <row r="447" spans="9:10" ht="15.75" customHeight="1">
      <c r="I447" s="8"/>
      <c r="J447" s="9"/>
    </row>
    <row r="448" spans="9:10" ht="15.75" customHeight="1">
      <c r="I448" s="8"/>
      <c r="J448" s="9"/>
    </row>
    <row r="449" spans="9:10" ht="15.75" customHeight="1">
      <c r="I449" s="8"/>
      <c r="J449" s="9"/>
    </row>
    <row r="450" spans="9:10" ht="15.75" customHeight="1">
      <c r="I450" s="8"/>
      <c r="J450" s="9"/>
    </row>
    <row r="451" spans="9:10" ht="15.75" customHeight="1">
      <c r="I451" s="8"/>
      <c r="J451" s="9"/>
    </row>
    <row r="452" spans="9:10" ht="15.75" customHeight="1">
      <c r="I452" s="8"/>
      <c r="J452" s="9"/>
    </row>
    <row r="453" spans="9:10" ht="15.75" customHeight="1">
      <c r="I453" s="8"/>
      <c r="J453" s="9"/>
    </row>
    <row r="454" spans="9:10" ht="15.75" customHeight="1">
      <c r="I454" s="8"/>
      <c r="J454" s="9"/>
    </row>
    <row r="455" spans="9:10" ht="15.75" customHeight="1">
      <c r="I455" s="8"/>
      <c r="J455" s="9"/>
    </row>
    <row r="456" spans="9:10" ht="15.75" customHeight="1">
      <c r="I456" s="8"/>
      <c r="J456" s="9"/>
    </row>
    <row r="457" spans="9:10" ht="15.75" customHeight="1">
      <c r="I457" s="8"/>
      <c r="J457" s="9"/>
    </row>
    <row r="458" spans="9:10" ht="15.75" customHeight="1">
      <c r="I458" s="8"/>
      <c r="J458" s="9"/>
    </row>
    <row r="459" spans="9:10" ht="15.75" customHeight="1">
      <c r="I459" s="8"/>
      <c r="J459" s="9"/>
    </row>
    <row r="460" spans="9:10" ht="15.75" customHeight="1">
      <c r="I460" s="8"/>
      <c r="J460" s="9"/>
    </row>
    <row r="461" spans="9:10" ht="15.75" customHeight="1">
      <c r="I461" s="8"/>
      <c r="J461" s="9"/>
    </row>
    <row r="462" spans="9:10" ht="15.75" customHeight="1">
      <c r="I462" s="8"/>
      <c r="J462" s="9"/>
    </row>
    <row r="463" spans="9:10" ht="15.75" customHeight="1">
      <c r="I463" s="8"/>
      <c r="J463" s="9"/>
    </row>
    <row r="464" spans="9:10" ht="15.75" customHeight="1">
      <c r="I464" s="8"/>
      <c r="J464" s="9"/>
    </row>
    <row r="465" spans="9:10" ht="15.75" customHeight="1">
      <c r="I465" s="8"/>
      <c r="J465" s="9"/>
    </row>
    <row r="466" spans="9:10" ht="15.75" customHeight="1">
      <c r="I466" s="8"/>
      <c r="J466" s="9"/>
    </row>
    <row r="467" spans="9:10" ht="15.75" customHeight="1">
      <c r="I467" s="8"/>
      <c r="J467" s="9"/>
    </row>
    <row r="468" spans="9:10" ht="15.75" customHeight="1">
      <c r="I468" s="8"/>
      <c r="J468" s="9"/>
    </row>
    <row r="469" spans="9:10" ht="15.75" customHeight="1">
      <c r="I469" s="8"/>
      <c r="J469" s="9"/>
    </row>
    <row r="470" spans="9:10" ht="15.75" customHeight="1">
      <c r="I470" s="8"/>
      <c r="J470" s="9"/>
    </row>
    <row r="471" spans="9:10" ht="15.75" customHeight="1">
      <c r="I471" s="8"/>
      <c r="J471" s="9"/>
    </row>
    <row r="472" spans="9:10" ht="15.75" customHeight="1">
      <c r="I472" s="8"/>
      <c r="J472" s="9"/>
    </row>
    <row r="473" spans="9:10" ht="15.75" customHeight="1">
      <c r="I473" s="8"/>
      <c r="J473" s="9"/>
    </row>
    <row r="474" spans="9:10" ht="15.75" customHeight="1">
      <c r="I474" s="8"/>
      <c r="J474" s="9"/>
    </row>
    <row r="475" spans="9:10" ht="15.75" customHeight="1">
      <c r="I475" s="8"/>
      <c r="J475" s="9"/>
    </row>
    <row r="476" spans="9:10" ht="15.75" customHeight="1">
      <c r="I476" s="8"/>
      <c r="J476" s="9"/>
    </row>
    <row r="477" spans="9:10" ht="15.75" customHeight="1">
      <c r="I477" s="8"/>
      <c r="J477" s="9"/>
    </row>
    <row r="478" spans="9:10" ht="15.75" customHeight="1">
      <c r="I478" s="8"/>
      <c r="J478" s="9"/>
    </row>
    <row r="479" spans="9:10" ht="15.75" customHeight="1">
      <c r="I479" s="8"/>
      <c r="J479" s="9"/>
    </row>
    <row r="480" spans="9:10" ht="15.75" customHeight="1">
      <c r="I480" s="8"/>
      <c r="J480" s="9"/>
    </row>
    <row r="481" spans="9:10" ht="15.75" customHeight="1">
      <c r="I481" s="8"/>
      <c r="J481" s="9"/>
    </row>
    <row r="482" spans="9:10" ht="15.75" customHeight="1">
      <c r="I482" s="8"/>
      <c r="J482" s="9"/>
    </row>
    <row r="483" spans="9:10" ht="15.75" customHeight="1">
      <c r="I483" s="8"/>
      <c r="J483" s="9"/>
    </row>
    <row r="484" spans="9:10" ht="15.75" customHeight="1">
      <c r="I484" s="8"/>
      <c r="J484" s="9"/>
    </row>
    <row r="485" spans="9:10" ht="15.75" customHeight="1">
      <c r="I485" s="8"/>
      <c r="J485" s="9"/>
    </row>
    <row r="486" spans="9:10" ht="15.75" customHeight="1">
      <c r="I486" s="8"/>
      <c r="J486" s="9"/>
    </row>
    <row r="487" spans="9:10" ht="15.75" customHeight="1">
      <c r="I487" s="8"/>
      <c r="J487" s="9"/>
    </row>
    <row r="488" spans="9:10" ht="15.75" customHeight="1">
      <c r="I488" s="8"/>
      <c r="J488" s="9"/>
    </row>
    <row r="489" spans="9:10" ht="15.75" customHeight="1">
      <c r="I489" s="8"/>
      <c r="J489" s="9"/>
    </row>
    <row r="490" spans="9:10" ht="15.75" customHeight="1">
      <c r="I490" s="8"/>
      <c r="J490" s="9"/>
    </row>
    <row r="491" spans="9:10" ht="15.75" customHeight="1">
      <c r="I491" s="8"/>
      <c r="J491" s="9"/>
    </row>
    <row r="492" spans="9:10" ht="15.75" customHeight="1">
      <c r="I492" s="8"/>
      <c r="J492" s="9"/>
    </row>
    <row r="493" spans="9:10" ht="15.75" customHeight="1">
      <c r="I493" s="8"/>
      <c r="J493" s="9"/>
    </row>
    <row r="494" spans="9:10" ht="15.75" customHeight="1">
      <c r="I494" s="8"/>
      <c r="J494" s="9"/>
    </row>
    <row r="495" spans="9:10" ht="15.75" customHeight="1">
      <c r="I495" s="8"/>
      <c r="J495" s="9"/>
    </row>
    <row r="496" spans="9:10" ht="15.75" customHeight="1">
      <c r="I496" s="8"/>
      <c r="J496" s="9"/>
    </row>
    <row r="497" spans="9:10" ht="15.75" customHeight="1">
      <c r="I497" s="8"/>
      <c r="J497" s="9"/>
    </row>
    <row r="498" spans="9:10" ht="15.75" customHeight="1">
      <c r="I498" s="8"/>
      <c r="J498" s="9"/>
    </row>
    <row r="499" spans="9:10" ht="15.75" customHeight="1">
      <c r="I499" s="8"/>
      <c r="J499" s="9"/>
    </row>
    <row r="500" spans="9:10" ht="15.75" customHeight="1">
      <c r="I500" s="8"/>
      <c r="J500" s="9"/>
    </row>
    <row r="501" spans="9:10" ht="15.75" customHeight="1">
      <c r="I501" s="8"/>
      <c r="J501" s="9"/>
    </row>
    <row r="502" spans="9:10" ht="15.75" customHeight="1">
      <c r="I502" s="8"/>
      <c r="J502" s="9"/>
    </row>
    <row r="503" spans="9:10" ht="15.75" customHeight="1">
      <c r="I503" s="8"/>
      <c r="J503" s="9"/>
    </row>
    <row r="504" spans="9:10" ht="15.75" customHeight="1">
      <c r="I504" s="8"/>
      <c r="J504" s="9"/>
    </row>
    <row r="505" spans="9:10" ht="15.75" customHeight="1">
      <c r="I505" s="8"/>
      <c r="J505" s="9"/>
    </row>
    <row r="506" spans="9:10" ht="15.75" customHeight="1">
      <c r="I506" s="8"/>
      <c r="J506" s="9"/>
    </row>
    <row r="507" spans="9:10" ht="15.75" customHeight="1">
      <c r="I507" s="8"/>
      <c r="J507" s="9"/>
    </row>
    <row r="508" spans="9:10" ht="15.75" customHeight="1">
      <c r="I508" s="8"/>
      <c r="J508" s="9"/>
    </row>
    <row r="509" spans="9:10" ht="15.75" customHeight="1">
      <c r="I509" s="8"/>
      <c r="J509" s="9"/>
    </row>
    <row r="510" spans="9:10" ht="15.75" customHeight="1">
      <c r="I510" s="8"/>
      <c r="J510" s="9"/>
    </row>
    <row r="511" spans="9:10" ht="15.75" customHeight="1">
      <c r="I511" s="8"/>
      <c r="J511" s="9"/>
    </row>
    <row r="512" spans="9:10" ht="15.75" customHeight="1">
      <c r="I512" s="8"/>
      <c r="J512" s="9"/>
    </row>
    <row r="513" spans="9:10" ht="15.75" customHeight="1">
      <c r="I513" s="8"/>
      <c r="J513" s="9"/>
    </row>
    <row r="514" spans="9:10" ht="15.75" customHeight="1">
      <c r="I514" s="8"/>
      <c r="J514" s="9"/>
    </row>
    <row r="515" spans="9:10" ht="15.75" customHeight="1">
      <c r="I515" s="8"/>
      <c r="J515" s="9"/>
    </row>
    <row r="516" spans="9:10" ht="15.75" customHeight="1">
      <c r="I516" s="8"/>
      <c r="J516" s="9"/>
    </row>
    <row r="517" spans="9:10" ht="15.75" customHeight="1">
      <c r="I517" s="8"/>
      <c r="J517" s="9"/>
    </row>
    <row r="518" spans="9:10" ht="15.75" customHeight="1">
      <c r="I518" s="8"/>
      <c r="J518" s="9"/>
    </row>
    <row r="519" spans="9:10" ht="15.75" customHeight="1">
      <c r="I519" s="8"/>
      <c r="J519" s="9"/>
    </row>
    <row r="520" spans="9:10" ht="15.75" customHeight="1">
      <c r="I520" s="8"/>
      <c r="J520" s="9"/>
    </row>
    <row r="521" spans="9:10" ht="15.75" customHeight="1">
      <c r="I521" s="8"/>
      <c r="J521" s="9"/>
    </row>
    <row r="522" spans="9:10" ht="15.75" customHeight="1">
      <c r="I522" s="8"/>
      <c r="J522" s="9"/>
    </row>
    <row r="523" spans="9:10" ht="15.75" customHeight="1">
      <c r="I523" s="8"/>
      <c r="J523" s="9"/>
    </row>
    <row r="524" spans="9:10" ht="15.75" customHeight="1">
      <c r="I524" s="8"/>
      <c r="J524" s="9"/>
    </row>
    <row r="525" spans="9:10" ht="15.75" customHeight="1">
      <c r="I525" s="8"/>
      <c r="J525" s="9"/>
    </row>
    <row r="526" spans="9:10" ht="15.75" customHeight="1">
      <c r="I526" s="8"/>
      <c r="J526" s="9"/>
    </row>
    <row r="527" spans="9:10" ht="15.75" customHeight="1">
      <c r="I527" s="8"/>
      <c r="J527" s="9"/>
    </row>
    <row r="528" spans="9:10" ht="15.75" customHeight="1">
      <c r="I528" s="8"/>
      <c r="J528" s="9"/>
    </row>
    <row r="529" spans="9:10" ht="15.75" customHeight="1">
      <c r="I529" s="8"/>
      <c r="J529" s="9"/>
    </row>
    <row r="530" spans="9:10" ht="15.75" customHeight="1">
      <c r="I530" s="8"/>
      <c r="J530" s="9"/>
    </row>
    <row r="531" spans="9:10" ht="15.75" customHeight="1">
      <c r="I531" s="8"/>
      <c r="J531" s="9"/>
    </row>
    <row r="532" spans="9:10" ht="15.75" customHeight="1">
      <c r="I532" s="8"/>
      <c r="J532" s="9"/>
    </row>
    <row r="533" spans="9:10" ht="15.75" customHeight="1">
      <c r="I533" s="8"/>
      <c r="J533" s="9"/>
    </row>
    <row r="534" spans="9:10" ht="15.75" customHeight="1">
      <c r="I534" s="8"/>
      <c r="J534" s="9"/>
    </row>
    <row r="535" spans="9:10" ht="15.75" customHeight="1">
      <c r="I535" s="8"/>
      <c r="J535" s="9"/>
    </row>
    <row r="536" spans="9:10" ht="15.75" customHeight="1">
      <c r="I536" s="8"/>
      <c r="J536" s="9"/>
    </row>
    <row r="537" spans="9:10" ht="15.75" customHeight="1">
      <c r="I537" s="8"/>
      <c r="J537" s="9"/>
    </row>
    <row r="538" spans="9:10" ht="15.75" customHeight="1">
      <c r="I538" s="8"/>
      <c r="J538" s="9"/>
    </row>
    <row r="539" spans="9:10" ht="15.75" customHeight="1">
      <c r="I539" s="8"/>
      <c r="J539" s="9"/>
    </row>
    <row r="540" spans="9:10" ht="15.75" customHeight="1">
      <c r="I540" s="8"/>
      <c r="J540" s="9"/>
    </row>
    <row r="541" spans="9:10" ht="15.75" customHeight="1">
      <c r="I541" s="8"/>
      <c r="J541" s="9"/>
    </row>
    <row r="542" spans="9:10" ht="15.75" customHeight="1">
      <c r="I542" s="8"/>
      <c r="J542" s="9"/>
    </row>
    <row r="543" spans="9:10" ht="15.75" customHeight="1">
      <c r="I543" s="8"/>
      <c r="J543" s="9"/>
    </row>
    <row r="544" spans="9:10" ht="15.75" customHeight="1">
      <c r="I544" s="8"/>
      <c r="J544" s="9"/>
    </row>
    <row r="545" spans="9:10" ht="15.75" customHeight="1">
      <c r="I545" s="8"/>
      <c r="J545" s="9"/>
    </row>
    <row r="546" spans="9:10" ht="15.75" customHeight="1">
      <c r="I546" s="8"/>
      <c r="J546" s="9"/>
    </row>
    <row r="547" spans="9:10" ht="15.75" customHeight="1">
      <c r="I547" s="8"/>
      <c r="J547" s="9"/>
    </row>
    <row r="548" spans="9:10" ht="15.75" customHeight="1">
      <c r="I548" s="8"/>
      <c r="J548" s="9"/>
    </row>
    <row r="549" spans="9:10" ht="15.75" customHeight="1">
      <c r="I549" s="8"/>
      <c r="J549" s="9"/>
    </row>
    <row r="550" spans="9:10" ht="15.75" customHeight="1">
      <c r="I550" s="8"/>
      <c r="J550" s="9"/>
    </row>
    <row r="551" spans="9:10" ht="15.75" customHeight="1">
      <c r="I551" s="8"/>
      <c r="J551" s="9"/>
    </row>
    <row r="552" spans="9:10" ht="15.75" customHeight="1">
      <c r="I552" s="8"/>
      <c r="J552" s="9"/>
    </row>
    <row r="553" spans="9:10" ht="15.75" customHeight="1">
      <c r="I553" s="8"/>
      <c r="J553" s="9"/>
    </row>
    <row r="554" spans="9:10" ht="15.75" customHeight="1">
      <c r="I554" s="8"/>
      <c r="J554" s="9"/>
    </row>
    <row r="555" spans="9:10" ht="15.75" customHeight="1">
      <c r="I555" s="8"/>
      <c r="J555" s="9"/>
    </row>
    <row r="556" spans="9:10" ht="15.75" customHeight="1">
      <c r="I556" s="8"/>
      <c r="J556" s="9"/>
    </row>
    <row r="557" spans="9:10" ht="15.75" customHeight="1">
      <c r="I557" s="8"/>
      <c r="J557" s="9"/>
    </row>
    <row r="558" spans="9:10" ht="15.75" customHeight="1">
      <c r="I558" s="8"/>
      <c r="J558" s="9"/>
    </row>
    <row r="559" spans="9:10" ht="15.75" customHeight="1">
      <c r="I559" s="8"/>
      <c r="J559" s="9"/>
    </row>
    <row r="560" spans="9:10" ht="15.75" customHeight="1">
      <c r="I560" s="8"/>
      <c r="J560" s="9"/>
    </row>
    <row r="561" spans="9:10" ht="15.75" customHeight="1">
      <c r="I561" s="8"/>
      <c r="J561" s="9"/>
    </row>
    <row r="562" spans="9:10" ht="15.75" customHeight="1">
      <c r="I562" s="8"/>
      <c r="J562" s="9"/>
    </row>
    <row r="563" spans="9:10" ht="15.75" customHeight="1">
      <c r="I563" s="8"/>
      <c r="J563" s="9"/>
    </row>
    <row r="564" spans="9:10" ht="15.75" customHeight="1">
      <c r="I564" s="8"/>
      <c r="J564" s="9"/>
    </row>
    <row r="565" spans="9:10" ht="15.75" customHeight="1">
      <c r="I565" s="8"/>
      <c r="J565" s="9"/>
    </row>
    <row r="566" spans="9:10" ht="15.75" customHeight="1">
      <c r="I566" s="8"/>
      <c r="J566" s="9"/>
    </row>
    <row r="567" spans="9:10" ht="15.75" customHeight="1">
      <c r="I567" s="8"/>
      <c r="J567" s="9"/>
    </row>
    <row r="568" spans="9:10" ht="15.75" customHeight="1">
      <c r="I568" s="8"/>
      <c r="J568" s="9"/>
    </row>
    <row r="569" spans="9:10" ht="15.75" customHeight="1">
      <c r="I569" s="8"/>
      <c r="J569" s="9"/>
    </row>
    <row r="570" spans="9:10" ht="15.75" customHeight="1">
      <c r="I570" s="8"/>
      <c r="J570" s="9"/>
    </row>
    <row r="571" spans="9:10" ht="15.75" customHeight="1">
      <c r="I571" s="8"/>
      <c r="J571" s="9"/>
    </row>
    <row r="572" spans="9:10" ht="15.75" customHeight="1">
      <c r="I572" s="8"/>
      <c r="J572" s="9"/>
    </row>
    <row r="573" spans="9:10" ht="15.75" customHeight="1">
      <c r="I573" s="8"/>
      <c r="J573" s="9"/>
    </row>
    <row r="574" spans="9:10" ht="15.75" customHeight="1">
      <c r="I574" s="8"/>
      <c r="J574" s="9"/>
    </row>
    <row r="575" spans="9:10" ht="15.75" customHeight="1">
      <c r="I575" s="8"/>
      <c r="J575" s="9"/>
    </row>
    <row r="576" spans="9:10" ht="15.75" customHeight="1">
      <c r="I576" s="8"/>
      <c r="J576" s="9"/>
    </row>
    <row r="577" spans="9:10" ht="15.75" customHeight="1">
      <c r="I577" s="8"/>
      <c r="J577" s="9"/>
    </row>
    <row r="578" spans="9:10" ht="15.75" customHeight="1">
      <c r="I578" s="8"/>
      <c r="J578" s="9"/>
    </row>
    <row r="579" spans="9:10" ht="15.75" customHeight="1">
      <c r="I579" s="8"/>
      <c r="J579" s="9"/>
    </row>
    <row r="580" spans="9:10" ht="15.75" customHeight="1">
      <c r="I580" s="8"/>
      <c r="J580" s="9"/>
    </row>
    <row r="581" spans="9:10" ht="15.75" customHeight="1">
      <c r="I581" s="8"/>
      <c r="J581" s="9"/>
    </row>
    <row r="582" spans="9:10" ht="15.75" customHeight="1">
      <c r="I582" s="8"/>
      <c r="J582" s="9"/>
    </row>
    <row r="583" spans="9:10" ht="15.75" customHeight="1">
      <c r="I583" s="8"/>
      <c r="J583" s="9"/>
    </row>
    <row r="584" spans="9:10" ht="15.75" customHeight="1">
      <c r="I584" s="8"/>
      <c r="J584" s="9"/>
    </row>
    <row r="585" spans="9:10" ht="15.75" customHeight="1">
      <c r="I585" s="8"/>
      <c r="J585" s="9"/>
    </row>
    <row r="586" spans="9:10" ht="15.75" customHeight="1">
      <c r="I586" s="8"/>
      <c r="J586" s="9"/>
    </row>
    <row r="587" spans="9:10" ht="15.75" customHeight="1">
      <c r="I587" s="8"/>
      <c r="J587" s="9"/>
    </row>
    <row r="588" spans="9:10" ht="15.75" customHeight="1">
      <c r="I588" s="8"/>
      <c r="J588" s="9"/>
    </row>
    <row r="589" spans="9:10" ht="15.75" customHeight="1">
      <c r="I589" s="8"/>
      <c r="J589" s="9"/>
    </row>
    <row r="590" spans="9:10" ht="15.75" customHeight="1">
      <c r="I590" s="8"/>
      <c r="J590" s="9"/>
    </row>
    <row r="591" spans="9:10" ht="15.75" customHeight="1">
      <c r="I591" s="8"/>
      <c r="J591" s="9"/>
    </row>
    <row r="592" spans="9:10" ht="15.75" customHeight="1">
      <c r="I592" s="8"/>
      <c r="J592" s="9"/>
    </row>
    <row r="593" spans="9:10" ht="15.75" customHeight="1">
      <c r="I593" s="8"/>
      <c r="J593" s="9"/>
    </row>
    <row r="594" spans="9:10" ht="15.75" customHeight="1">
      <c r="I594" s="8"/>
      <c r="J594" s="9"/>
    </row>
    <row r="595" spans="9:10" ht="15.75" customHeight="1">
      <c r="I595" s="8"/>
      <c r="J595" s="9"/>
    </row>
    <row r="596" spans="9:10" ht="15.75" customHeight="1">
      <c r="I596" s="8"/>
      <c r="J596" s="9"/>
    </row>
    <row r="597" spans="9:10" ht="15.75" customHeight="1">
      <c r="I597" s="8"/>
      <c r="J597" s="9"/>
    </row>
    <row r="598" spans="9:10" ht="15.75" customHeight="1">
      <c r="I598" s="8"/>
      <c r="J598" s="9"/>
    </row>
    <row r="599" spans="9:10" ht="15.75" customHeight="1">
      <c r="I599" s="8"/>
      <c r="J599" s="9"/>
    </row>
    <row r="600" spans="9:10" ht="15.75" customHeight="1">
      <c r="I600" s="8"/>
      <c r="J600" s="9"/>
    </row>
    <row r="601" spans="9:10" ht="15.75" customHeight="1">
      <c r="I601" s="8"/>
      <c r="J601" s="9"/>
    </row>
    <row r="602" spans="9:10" ht="15.75" customHeight="1">
      <c r="I602" s="8"/>
      <c r="J602" s="9"/>
    </row>
    <row r="603" spans="9:10" ht="15.75" customHeight="1">
      <c r="I603" s="8"/>
      <c r="J603" s="9"/>
    </row>
    <row r="604" spans="9:10" ht="15.75" customHeight="1">
      <c r="I604" s="8"/>
      <c r="J604" s="9"/>
    </row>
    <row r="605" spans="9:10" ht="15.75" customHeight="1">
      <c r="I605" s="8"/>
      <c r="J605" s="9"/>
    </row>
    <row r="606" spans="9:10" ht="15.75" customHeight="1">
      <c r="I606" s="8"/>
      <c r="J606" s="9"/>
    </row>
    <row r="607" spans="9:10" ht="15.75" customHeight="1">
      <c r="I607" s="8"/>
      <c r="J607" s="9"/>
    </row>
    <row r="608" spans="9:10" ht="15.75" customHeight="1">
      <c r="I608" s="8"/>
      <c r="J608" s="9"/>
    </row>
    <row r="609" spans="9:10" ht="15.75" customHeight="1">
      <c r="I609" s="8"/>
      <c r="J609" s="9"/>
    </row>
    <row r="610" spans="9:10" ht="15.75" customHeight="1">
      <c r="I610" s="8"/>
      <c r="J610" s="9"/>
    </row>
    <row r="611" spans="9:10" ht="15.75" customHeight="1">
      <c r="I611" s="8"/>
      <c r="J611" s="9"/>
    </row>
    <row r="612" spans="9:10" ht="15.75" customHeight="1">
      <c r="I612" s="8"/>
      <c r="J612" s="9"/>
    </row>
    <row r="613" spans="9:10" ht="15.75" customHeight="1">
      <c r="I613" s="8"/>
      <c r="J613" s="9"/>
    </row>
    <row r="614" spans="9:10" ht="15.75" customHeight="1">
      <c r="I614" s="8"/>
      <c r="J614" s="9"/>
    </row>
    <row r="615" spans="9:10" ht="15.75" customHeight="1">
      <c r="I615" s="8"/>
      <c r="J615" s="9"/>
    </row>
    <row r="616" spans="9:10" ht="15.75" customHeight="1">
      <c r="I616" s="8"/>
      <c r="J616" s="9"/>
    </row>
    <row r="617" spans="9:10" ht="15.75" customHeight="1">
      <c r="I617" s="8"/>
      <c r="J617" s="9"/>
    </row>
    <row r="618" spans="9:10" ht="15.75" customHeight="1">
      <c r="I618" s="8"/>
      <c r="J618" s="9"/>
    </row>
    <row r="619" spans="9:10" ht="15.75" customHeight="1">
      <c r="I619" s="8"/>
      <c r="J619" s="9"/>
    </row>
    <row r="620" spans="9:10" ht="15.75" customHeight="1">
      <c r="I620" s="8"/>
      <c r="J620" s="9"/>
    </row>
    <row r="621" spans="9:10" ht="15.75" customHeight="1">
      <c r="I621" s="8"/>
      <c r="J621" s="9"/>
    </row>
    <row r="622" spans="9:10" ht="15.75" customHeight="1">
      <c r="I622" s="8"/>
      <c r="J622" s="9"/>
    </row>
    <row r="623" spans="9:10" ht="15.75" customHeight="1">
      <c r="I623" s="8"/>
      <c r="J623" s="9"/>
    </row>
    <row r="624" spans="9:10" ht="15.75" customHeight="1">
      <c r="I624" s="8"/>
      <c r="J624" s="9"/>
    </row>
    <row r="625" spans="9:10" ht="15.75" customHeight="1">
      <c r="I625" s="8"/>
      <c r="J625" s="9"/>
    </row>
    <row r="626" spans="9:10" ht="15.75" customHeight="1">
      <c r="I626" s="8"/>
      <c r="J626" s="9"/>
    </row>
    <row r="627" spans="9:10" ht="15.75" customHeight="1">
      <c r="I627" s="8"/>
      <c r="J627" s="9"/>
    </row>
    <row r="628" spans="9:10" ht="15.75" customHeight="1">
      <c r="I628" s="8"/>
      <c r="J628" s="9"/>
    </row>
    <row r="629" spans="9:10" ht="15.75" customHeight="1">
      <c r="I629" s="8"/>
      <c r="J629" s="9"/>
    </row>
    <row r="630" spans="9:10" ht="15.75" customHeight="1">
      <c r="I630" s="8"/>
      <c r="J630" s="9"/>
    </row>
    <row r="631" spans="9:10" ht="15.75" customHeight="1">
      <c r="I631" s="8"/>
      <c r="J631" s="9"/>
    </row>
    <row r="632" spans="9:10" ht="15.75" customHeight="1">
      <c r="I632" s="8"/>
      <c r="J632" s="9"/>
    </row>
    <row r="633" spans="9:10" ht="15.75" customHeight="1">
      <c r="I633" s="8"/>
      <c r="J633" s="9"/>
    </row>
    <row r="634" spans="9:10" ht="15.75" customHeight="1">
      <c r="I634" s="8"/>
      <c r="J634" s="9"/>
    </row>
    <row r="635" spans="9:10" ht="15.75" customHeight="1">
      <c r="I635" s="8"/>
      <c r="J635" s="9"/>
    </row>
    <row r="636" spans="9:10" ht="15.75" customHeight="1">
      <c r="I636" s="8"/>
      <c r="J636" s="9"/>
    </row>
    <row r="637" spans="9:10" ht="15.75" customHeight="1">
      <c r="I637" s="8"/>
      <c r="J637" s="9"/>
    </row>
    <row r="638" spans="9:10" ht="15.75" customHeight="1">
      <c r="I638" s="8"/>
      <c r="J638" s="9"/>
    </row>
    <row r="639" spans="9:10" ht="15.75" customHeight="1">
      <c r="I639" s="8"/>
      <c r="J639" s="9"/>
    </row>
    <row r="640" spans="9:10" ht="15.75" customHeight="1">
      <c r="I640" s="8"/>
      <c r="J640" s="9"/>
    </row>
    <row r="641" spans="9:10" ht="15.75" customHeight="1">
      <c r="I641" s="8"/>
      <c r="J641" s="9"/>
    </row>
    <row r="642" spans="9:10" ht="15.75" customHeight="1">
      <c r="I642" s="8"/>
      <c r="J642" s="9"/>
    </row>
    <row r="643" spans="9:10" ht="15.75" customHeight="1">
      <c r="I643" s="8"/>
      <c r="J643" s="9"/>
    </row>
    <row r="644" spans="9:10" ht="15.75" customHeight="1">
      <c r="I644" s="8"/>
      <c r="J644" s="9"/>
    </row>
    <row r="645" spans="9:10" ht="15.75" customHeight="1">
      <c r="I645" s="8"/>
      <c r="J645" s="9"/>
    </row>
    <row r="646" spans="9:10" ht="15.75" customHeight="1">
      <c r="I646" s="8"/>
      <c r="J646" s="9"/>
    </row>
    <row r="647" spans="9:10" ht="15.75" customHeight="1">
      <c r="I647" s="8"/>
      <c r="J647" s="9"/>
    </row>
    <row r="648" spans="9:10" ht="15.75" customHeight="1">
      <c r="I648" s="8"/>
      <c r="J648" s="9"/>
    </row>
    <row r="649" spans="9:10" ht="15.75" customHeight="1">
      <c r="I649" s="8"/>
      <c r="J649" s="9"/>
    </row>
    <row r="650" spans="9:10" ht="15.75" customHeight="1">
      <c r="I650" s="8"/>
      <c r="J650" s="9"/>
    </row>
    <row r="651" spans="9:10" ht="15.75" customHeight="1">
      <c r="I651" s="8"/>
      <c r="J651" s="9"/>
    </row>
    <row r="652" spans="9:10" ht="15.75" customHeight="1">
      <c r="I652" s="8"/>
      <c r="J652" s="9"/>
    </row>
    <row r="653" spans="9:10" ht="15.75" customHeight="1">
      <c r="I653" s="8"/>
      <c r="J653" s="9"/>
    </row>
    <row r="654" spans="9:10" ht="15.75" customHeight="1">
      <c r="I654" s="8"/>
      <c r="J654" s="9"/>
    </row>
    <row r="655" spans="9:10" ht="15.75" customHeight="1">
      <c r="I655" s="8"/>
      <c r="J655" s="9"/>
    </row>
    <row r="656" spans="9:10" ht="15.75" customHeight="1">
      <c r="I656" s="8"/>
      <c r="J656" s="9"/>
    </row>
    <row r="657" spans="9:10" ht="15.75" customHeight="1">
      <c r="I657" s="8"/>
      <c r="J657" s="9"/>
    </row>
    <row r="658" spans="9:10" ht="15.75" customHeight="1">
      <c r="I658" s="8"/>
      <c r="J658" s="9"/>
    </row>
    <row r="659" spans="9:10" ht="15.75" customHeight="1">
      <c r="I659" s="8"/>
      <c r="J659" s="9"/>
    </row>
    <row r="660" spans="9:10" ht="15.75" customHeight="1">
      <c r="I660" s="8"/>
      <c r="J660" s="9"/>
    </row>
    <row r="661" spans="9:10" ht="15.75" customHeight="1">
      <c r="I661" s="8"/>
      <c r="J661" s="9"/>
    </row>
    <row r="662" spans="9:10" ht="15.75" customHeight="1">
      <c r="I662" s="8"/>
      <c r="J662" s="9"/>
    </row>
    <row r="663" spans="9:10" ht="15.75" customHeight="1">
      <c r="I663" s="8"/>
      <c r="J663" s="9"/>
    </row>
    <row r="664" spans="9:10" ht="15.75" customHeight="1">
      <c r="I664" s="8"/>
      <c r="J664" s="9"/>
    </row>
    <row r="665" spans="9:10" ht="15.75" customHeight="1">
      <c r="I665" s="8"/>
      <c r="J665" s="9"/>
    </row>
    <row r="666" spans="9:10" ht="15.75" customHeight="1">
      <c r="I666" s="8"/>
      <c r="J666" s="9"/>
    </row>
    <row r="667" spans="9:10" ht="15.75" customHeight="1">
      <c r="I667" s="8"/>
      <c r="J667" s="9"/>
    </row>
    <row r="668" spans="9:10" ht="15.75" customHeight="1">
      <c r="I668" s="8"/>
      <c r="J668" s="9"/>
    </row>
    <row r="669" spans="9:10" ht="15.75" customHeight="1">
      <c r="I669" s="8"/>
      <c r="J669" s="9"/>
    </row>
    <row r="670" spans="9:10" ht="15.75" customHeight="1">
      <c r="I670" s="8"/>
      <c r="J670" s="9"/>
    </row>
    <row r="671" spans="9:10" ht="15.75" customHeight="1">
      <c r="I671" s="8"/>
      <c r="J671" s="9"/>
    </row>
    <row r="672" spans="9:10" ht="15.75" customHeight="1">
      <c r="I672" s="8"/>
      <c r="J672" s="9"/>
    </row>
    <row r="673" spans="9:10" ht="15.75" customHeight="1">
      <c r="I673" s="8"/>
      <c r="J673" s="9"/>
    </row>
    <row r="674" spans="9:10" ht="15.75" customHeight="1">
      <c r="I674" s="8"/>
      <c r="J674" s="9"/>
    </row>
    <row r="675" spans="9:10" ht="15.75" customHeight="1">
      <c r="I675" s="8"/>
      <c r="J675" s="9"/>
    </row>
    <row r="676" spans="9:10" ht="15.75" customHeight="1">
      <c r="I676" s="8"/>
      <c r="J676" s="9"/>
    </row>
    <row r="677" spans="9:10" ht="15.75" customHeight="1">
      <c r="I677" s="8"/>
      <c r="J677" s="9"/>
    </row>
    <row r="678" spans="9:10" ht="15.75" customHeight="1">
      <c r="I678" s="8"/>
      <c r="J678" s="9"/>
    </row>
    <row r="679" spans="9:10" ht="15.75" customHeight="1">
      <c r="I679" s="8"/>
      <c r="J679" s="9"/>
    </row>
    <row r="680" spans="9:10" ht="15.75" customHeight="1">
      <c r="I680" s="8"/>
      <c r="J680" s="9"/>
    </row>
    <row r="681" spans="9:10" ht="15.75" customHeight="1">
      <c r="I681" s="8"/>
      <c r="J681" s="9"/>
    </row>
    <row r="682" spans="9:10" ht="15.75" customHeight="1">
      <c r="I682" s="8"/>
      <c r="J682" s="9"/>
    </row>
    <row r="683" spans="9:10" ht="15.75" customHeight="1">
      <c r="I683" s="8"/>
      <c r="J683" s="9"/>
    </row>
    <row r="684" spans="9:10" ht="15.75" customHeight="1">
      <c r="I684" s="8"/>
      <c r="J684" s="9"/>
    </row>
    <row r="685" spans="9:10" ht="15.75" customHeight="1">
      <c r="I685" s="8"/>
      <c r="J685" s="9"/>
    </row>
    <row r="686" spans="9:10" ht="15.75" customHeight="1">
      <c r="I686" s="8"/>
      <c r="J686" s="9"/>
    </row>
    <row r="687" spans="9:10" ht="15.75" customHeight="1">
      <c r="I687" s="8"/>
      <c r="J687" s="9"/>
    </row>
    <row r="688" spans="9:10" ht="15.75" customHeight="1">
      <c r="I688" s="8"/>
      <c r="J688" s="9"/>
    </row>
    <row r="689" spans="9:10" ht="15.75" customHeight="1">
      <c r="I689" s="8"/>
      <c r="J689" s="9"/>
    </row>
    <row r="690" spans="9:10" ht="15.75" customHeight="1">
      <c r="I690" s="8"/>
      <c r="J690" s="9"/>
    </row>
    <row r="691" spans="9:10" ht="15.75" customHeight="1">
      <c r="I691" s="8"/>
      <c r="J691" s="9"/>
    </row>
    <row r="692" spans="9:10" ht="15.75" customHeight="1">
      <c r="I692" s="8"/>
      <c r="J692" s="9"/>
    </row>
    <row r="693" spans="9:10" ht="15.75" customHeight="1">
      <c r="I693" s="8"/>
      <c r="J693" s="9"/>
    </row>
    <row r="694" spans="9:10" ht="15.75" customHeight="1">
      <c r="I694" s="8"/>
      <c r="J694" s="9"/>
    </row>
    <row r="695" spans="9:10" ht="15.75" customHeight="1">
      <c r="I695" s="8"/>
      <c r="J695" s="9"/>
    </row>
    <row r="696" spans="9:10" ht="15.75" customHeight="1">
      <c r="I696" s="8"/>
      <c r="J696" s="9"/>
    </row>
    <row r="697" spans="9:10" ht="15.75" customHeight="1">
      <c r="I697" s="8"/>
      <c r="J697" s="9"/>
    </row>
    <row r="698" spans="9:10" ht="15.75" customHeight="1">
      <c r="I698" s="8"/>
      <c r="J698" s="9"/>
    </row>
    <row r="699" spans="9:10" ht="15.75" customHeight="1">
      <c r="I699" s="8"/>
      <c r="J699" s="9"/>
    </row>
    <row r="700" spans="9:10" ht="15.75" customHeight="1">
      <c r="I700" s="8"/>
      <c r="J700" s="9"/>
    </row>
    <row r="701" spans="9:10" ht="15.75" customHeight="1">
      <c r="I701" s="8"/>
      <c r="J701" s="9"/>
    </row>
    <row r="702" spans="9:10" ht="15.75" customHeight="1">
      <c r="I702" s="8"/>
      <c r="J702" s="9"/>
    </row>
    <row r="703" spans="9:10" ht="15.75" customHeight="1">
      <c r="I703" s="8"/>
      <c r="J703" s="9"/>
    </row>
    <row r="704" spans="9:10" ht="15.75" customHeight="1">
      <c r="I704" s="8"/>
      <c r="J704" s="9"/>
    </row>
    <row r="705" spans="9:10" ht="15.75" customHeight="1">
      <c r="I705" s="8"/>
      <c r="J705" s="9"/>
    </row>
    <row r="706" spans="9:10" ht="15.75" customHeight="1">
      <c r="I706" s="8"/>
      <c r="J706" s="9"/>
    </row>
    <row r="707" spans="9:10" ht="15.75" customHeight="1">
      <c r="I707" s="8"/>
      <c r="J707" s="9"/>
    </row>
    <row r="708" spans="9:10" ht="15.75" customHeight="1">
      <c r="I708" s="8"/>
      <c r="J708" s="9"/>
    </row>
    <row r="709" spans="9:10" ht="15.75" customHeight="1">
      <c r="I709" s="8"/>
      <c r="J709" s="9"/>
    </row>
    <row r="710" spans="9:10" ht="15.75" customHeight="1">
      <c r="I710" s="8"/>
      <c r="J710" s="9"/>
    </row>
    <row r="711" spans="9:10" ht="15.75" customHeight="1">
      <c r="I711" s="8"/>
      <c r="J711" s="9"/>
    </row>
    <row r="712" spans="9:10" ht="15.75" customHeight="1">
      <c r="I712" s="8"/>
      <c r="J712" s="9"/>
    </row>
    <row r="713" spans="9:10" ht="15.75" customHeight="1">
      <c r="I713" s="8"/>
      <c r="J713" s="9"/>
    </row>
    <row r="714" spans="9:10" ht="15.75" customHeight="1">
      <c r="I714" s="8"/>
      <c r="J714" s="9"/>
    </row>
    <row r="715" spans="9:10" ht="15.75" customHeight="1">
      <c r="I715" s="8"/>
      <c r="J715" s="9"/>
    </row>
    <row r="716" spans="9:10" ht="15.75" customHeight="1">
      <c r="I716" s="8"/>
      <c r="J716" s="9"/>
    </row>
    <row r="717" spans="9:10" ht="15.75" customHeight="1">
      <c r="I717" s="8"/>
      <c r="J717" s="9"/>
    </row>
    <row r="718" spans="9:10" ht="15.75" customHeight="1">
      <c r="I718" s="8"/>
      <c r="J718" s="9"/>
    </row>
    <row r="719" spans="9:10" ht="15.75" customHeight="1">
      <c r="I719" s="8"/>
      <c r="J719" s="9"/>
    </row>
    <row r="720" spans="9:10" ht="15.75" customHeight="1">
      <c r="I720" s="8"/>
      <c r="J720" s="9"/>
    </row>
    <row r="721" spans="9:10" ht="15.75" customHeight="1">
      <c r="I721" s="8"/>
      <c r="J721" s="9"/>
    </row>
    <row r="722" spans="9:10" ht="15.75" customHeight="1">
      <c r="I722" s="8"/>
      <c r="J722" s="9"/>
    </row>
    <row r="723" spans="9:10" ht="15.75" customHeight="1">
      <c r="I723" s="8"/>
      <c r="J723" s="9"/>
    </row>
    <row r="724" spans="9:10" ht="15.75" customHeight="1">
      <c r="I724" s="8"/>
      <c r="J724" s="9"/>
    </row>
    <row r="725" spans="9:10" ht="15.75" customHeight="1">
      <c r="I725" s="8"/>
      <c r="J725" s="9"/>
    </row>
    <row r="726" spans="9:10" ht="15.75" customHeight="1">
      <c r="I726" s="8"/>
      <c r="J726" s="9"/>
    </row>
    <row r="727" spans="9:10" ht="15.75" customHeight="1">
      <c r="I727" s="8"/>
      <c r="J727" s="9"/>
    </row>
    <row r="728" spans="9:10" ht="15.75" customHeight="1">
      <c r="I728" s="8"/>
      <c r="J728" s="9"/>
    </row>
    <row r="729" spans="9:10" ht="15.75" customHeight="1">
      <c r="I729" s="8"/>
      <c r="J729" s="9"/>
    </row>
    <row r="730" spans="9:10" ht="15.75" customHeight="1">
      <c r="I730" s="8"/>
      <c r="J730" s="9"/>
    </row>
    <row r="731" spans="9:10" ht="15.75" customHeight="1">
      <c r="I731" s="8"/>
      <c r="J731" s="9"/>
    </row>
    <row r="732" spans="9:10" ht="15.75" customHeight="1">
      <c r="I732" s="8"/>
      <c r="J732" s="9"/>
    </row>
    <row r="733" spans="9:10" ht="15.75" customHeight="1">
      <c r="I733" s="8"/>
      <c r="J733" s="9"/>
    </row>
    <row r="734" spans="9:10" ht="15.75" customHeight="1">
      <c r="I734" s="8"/>
      <c r="J734" s="9"/>
    </row>
    <row r="735" spans="9:10" ht="15.75" customHeight="1">
      <c r="I735" s="8"/>
      <c r="J735" s="9"/>
    </row>
    <row r="736" spans="9:10" ht="15.75" customHeight="1">
      <c r="I736" s="8"/>
      <c r="J736" s="9"/>
    </row>
    <row r="737" spans="9:10" ht="15.75" customHeight="1">
      <c r="I737" s="8"/>
      <c r="J737" s="9"/>
    </row>
    <row r="738" spans="9:10" ht="15.75" customHeight="1">
      <c r="I738" s="8"/>
      <c r="J738" s="9"/>
    </row>
    <row r="739" spans="9:10" ht="15.75" customHeight="1">
      <c r="I739" s="8"/>
      <c r="J739" s="9"/>
    </row>
    <row r="740" spans="9:10" ht="15.75" customHeight="1">
      <c r="I740" s="8"/>
      <c r="J740" s="9"/>
    </row>
    <row r="741" spans="9:10" ht="15.75" customHeight="1">
      <c r="I741" s="8"/>
      <c r="J741" s="9"/>
    </row>
    <row r="742" spans="9:10" ht="15.75" customHeight="1">
      <c r="I742" s="8"/>
      <c r="J742" s="9"/>
    </row>
    <row r="743" spans="9:10" ht="15.75" customHeight="1">
      <c r="I743" s="8"/>
      <c r="J743" s="9"/>
    </row>
    <row r="744" spans="9:10" ht="15.75" customHeight="1">
      <c r="I744" s="8"/>
      <c r="J744" s="9"/>
    </row>
    <row r="745" spans="9:10" ht="15.75" customHeight="1">
      <c r="I745" s="8"/>
      <c r="J745" s="9"/>
    </row>
    <row r="746" spans="9:10" ht="15.75" customHeight="1">
      <c r="I746" s="8"/>
      <c r="J746" s="9"/>
    </row>
    <row r="747" spans="9:10" ht="15.75" customHeight="1">
      <c r="I747" s="8"/>
      <c r="J747" s="9"/>
    </row>
    <row r="748" spans="9:10" ht="15.75" customHeight="1">
      <c r="I748" s="8"/>
      <c r="J748" s="9"/>
    </row>
    <row r="749" spans="9:10" ht="15.75" customHeight="1">
      <c r="I749" s="8"/>
      <c r="J749" s="9"/>
    </row>
    <row r="750" spans="9:10" ht="15.75" customHeight="1">
      <c r="I750" s="8"/>
      <c r="J750" s="9"/>
    </row>
    <row r="751" spans="9:10" ht="15.75" customHeight="1">
      <c r="I751" s="8"/>
      <c r="J751" s="9"/>
    </row>
    <row r="752" spans="9:10" ht="15.75" customHeight="1">
      <c r="I752" s="8"/>
      <c r="J752" s="9"/>
    </row>
    <row r="753" spans="9:10" ht="15.75" customHeight="1">
      <c r="I753" s="8"/>
      <c r="J753" s="9"/>
    </row>
    <row r="754" spans="9:10" ht="15.75" customHeight="1">
      <c r="I754" s="8"/>
      <c r="J754" s="9"/>
    </row>
    <row r="755" spans="9:10" ht="15.75" customHeight="1">
      <c r="I755" s="8"/>
      <c r="J755" s="9"/>
    </row>
    <row r="756" spans="9:10" ht="15.75" customHeight="1">
      <c r="I756" s="8"/>
      <c r="J756" s="9"/>
    </row>
    <row r="757" spans="9:10" ht="15.75" customHeight="1">
      <c r="I757" s="8"/>
      <c r="J757" s="9"/>
    </row>
    <row r="758" spans="9:10" ht="15.75" customHeight="1">
      <c r="I758" s="8"/>
      <c r="J758" s="9"/>
    </row>
    <row r="759" spans="9:10" ht="15.75" customHeight="1">
      <c r="I759" s="8"/>
      <c r="J759" s="9"/>
    </row>
    <row r="760" spans="9:10" ht="15.75" customHeight="1">
      <c r="I760" s="8"/>
      <c r="J760" s="9"/>
    </row>
    <row r="761" spans="9:10" ht="15.75" customHeight="1">
      <c r="I761" s="8"/>
      <c r="J761" s="9"/>
    </row>
    <row r="762" spans="9:10" ht="15.75" customHeight="1">
      <c r="I762" s="8"/>
      <c r="J762" s="9"/>
    </row>
    <row r="763" spans="9:10" ht="15.75" customHeight="1">
      <c r="I763" s="8"/>
      <c r="J763" s="9"/>
    </row>
    <row r="764" spans="9:10" ht="15.75" customHeight="1">
      <c r="I764" s="8"/>
      <c r="J764" s="9"/>
    </row>
    <row r="765" spans="9:10" ht="15.75" customHeight="1">
      <c r="I765" s="8"/>
      <c r="J765" s="9"/>
    </row>
    <row r="766" spans="9:10" ht="15.75" customHeight="1">
      <c r="I766" s="8"/>
      <c r="J766" s="9"/>
    </row>
    <row r="767" spans="9:10" ht="15.75" customHeight="1">
      <c r="I767" s="8"/>
      <c r="J767" s="9"/>
    </row>
    <row r="768" spans="9:10" ht="15.75" customHeight="1">
      <c r="I768" s="8"/>
      <c r="J768" s="9"/>
    </row>
    <row r="769" spans="9:10" ht="15.75" customHeight="1">
      <c r="I769" s="8"/>
      <c r="J769" s="9"/>
    </row>
    <row r="770" spans="9:10" ht="15.75" customHeight="1">
      <c r="I770" s="8"/>
      <c r="J770" s="9"/>
    </row>
    <row r="771" spans="9:10" ht="15.75" customHeight="1">
      <c r="I771" s="8"/>
      <c r="J771" s="9"/>
    </row>
    <row r="772" spans="9:10" ht="15.75" customHeight="1">
      <c r="I772" s="8"/>
      <c r="J772" s="9"/>
    </row>
    <row r="773" spans="9:10" ht="15.75" customHeight="1">
      <c r="I773" s="8"/>
      <c r="J773" s="9"/>
    </row>
    <row r="774" spans="9:10" ht="15.75" customHeight="1">
      <c r="I774" s="8"/>
      <c r="J774" s="9"/>
    </row>
    <row r="775" spans="9:10" ht="15.75" customHeight="1">
      <c r="I775" s="8"/>
      <c r="J775" s="9"/>
    </row>
    <row r="776" spans="9:10" ht="15.75" customHeight="1">
      <c r="I776" s="8"/>
      <c r="J776" s="9"/>
    </row>
    <row r="777" spans="9:10" ht="15.75" customHeight="1">
      <c r="I777" s="8"/>
      <c r="J777" s="9"/>
    </row>
    <row r="778" spans="9:10" ht="15.75" customHeight="1">
      <c r="I778" s="8"/>
      <c r="J778" s="9"/>
    </row>
    <row r="779" spans="9:10" ht="15.75" customHeight="1">
      <c r="I779" s="8"/>
      <c r="J779" s="9"/>
    </row>
    <row r="780" spans="9:10" ht="15.75" customHeight="1">
      <c r="I780" s="8"/>
      <c r="J780" s="9"/>
    </row>
    <row r="781" spans="9:10" ht="15.75" customHeight="1">
      <c r="I781" s="8"/>
      <c r="J781" s="9"/>
    </row>
    <row r="782" spans="9:10" ht="15.75" customHeight="1">
      <c r="I782" s="8"/>
      <c r="J782" s="9"/>
    </row>
    <row r="783" spans="9:10" ht="15.75" customHeight="1">
      <c r="I783" s="8"/>
      <c r="J783" s="9"/>
    </row>
    <row r="784" spans="9:10" ht="15.75" customHeight="1">
      <c r="I784" s="8"/>
      <c r="J784" s="9"/>
    </row>
    <row r="785" spans="9:10" ht="15.75" customHeight="1">
      <c r="I785" s="8"/>
      <c r="J785" s="9"/>
    </row>
    <row r="786" spans="9:10" ht="15.75" customHeight="1">
      <c r="I786" s="8"/>
      <c r="J786" s="9"/>
    </row>
    <row r="787" spans="9:10" ht="15.75" customHeight="1">
      <c r="I787" s="8"/>
      <c r="J787" s="9"/>
    </row>
    <row r="788" spans="9:10" ht="15.75" customHeight="1">
      <c r="I788" s="8"/>
      <c r="J788" s="9"/>
    </row>
    <row r="789" spans="9:10" ht="15.75" customHeight="1">
      <c r="I789" s="8"/>
      <c r="J789" s="9"/>
    </row>
    <row r="790" spans="9:10" ht="15.75" customHeight="1">
      <c r="I790" s="8"/>
      <c r="J790" s="9"/>
    </row>
    <row r="791" spans="9:10" ht="15.75" customHeight="1">
      <c r="I791" s="8"/>
      <c r="J791" s="9"/>
    </row>
    <row r="792" spans="9:10" ht="15.75" customHeight="1">
      <c r="I792" s="8"/>
      <c r="J792" s="9"/>
    </row>
    <row r="793" spans="9:10" ht="15.75" customHeight="1">
      <c r="I793" s="8"/>
      <c r="J793" s="9"/>
    </row>
    <row r="794" spans="9:10" ht="15.75" customHeight="1">
      <c r="I794" s="8"/>
      <c r="J794" s="9"/>
    </row>
    <row r="795" spans="9:10" ht="15.75" customHeight="1">
      <c r="I795" s="8"/>
      <c r="J795" s="9"/>
    </row>
    <row r="796" spans="9:10" ht="15.75" customHeight="1">
      <c r="I796" s="8"/>
      <c r="J796" s="9"/>
    </row>
    <row r="797" spans="9:10" ht="15.75" customHeight="1">
      <c r="I797" s="8"/>
      <c r="J797" s="9"/>
    </row>
    <row r="798" spans="9:10" ht="15.75" customHeight="1">
      <c r="I798" s="8"/>
      <c r="J798" s="9"/>
    </row>
    <row r="799" spans="9:10" ht="15.75" customHeight="1">
      <c r="I799" s="8"/>
      <c r="J799" s="9"/>
    </row>
    <row r="800" spans="9:10" ht="15.75" customHeight="1">
      <c r="I800" s="8"/>
      <c r="J800" s="9"/>
    </row>
    <row r="801" spans="9:10" ht="15.75" customHeight="1">
      <c r="I801" s="8"/>
      <c r="J801" s="9"/>
    </row>
    <row r="802" spans="9:10" ht="15.75" customHeight="1">
      <c r="I802" s="8"/>
      <c r="J802" s="9"/>
    </row>
    <row r="803" spans="9:10" ht="15.75" customHeight="1">
      <c r="I803" s="8"/>
      <c r="J803" s="9"/>
    </row>
    <row r="804" spans="9:10" ht="15.75" customHeight="1">
      <c r="I804" s="8"/>
      <c r="J804" s="9"/>
    </row>
    <row r="805" spans="9:10" ht="15.75" customHeight="1">
      <c r="I805" s="8"/>
      <c r="J805" s="9"/>
    </row>
    <row r="806" spans="9:10" ht="15.75" customHeight="1">
      <c r="I806" s="8"/>
      <c r="J806" s="9"/>
    </row>
    <row r="807" spans="9:10" ht="15.75" customHeight="1">
      <c r="I807" s="8"/>
      <c r="J807" s="9"/>
    </row>
    <row r="808" spans="9:10" ht="15.75" customHeight="1">
      <c r="I808" s="8"/>
      <c r="J808" s="9"/>
    </row>
    <row r="809" spans="9:10" ht="15.75" customHeight="1">
      <c r="I809" s="8"/>
      <c r="J809" s="9"/>
    </row>
    <row r="810" spans="9:10" ht="15.75" customHeight="1">
      <c r="I810" s="8"/>
      <c r="J810" s="9"/>
    </row>
    <row r="811" spans="9:10" ht="15.75" customHeight="1">
      <c r="I811" s="8"/>
      <c r="J811" s="9"/>
    </row>
    <row r="812" spans="9:10" ht="15.75" customHeight="1">
      <c r="I812" s="8"/>
      <c r="J812" s="9"/>
    </row>
    <row r="813" spans="9:10" ht="15.75" customHeight="1">
      <c r="I813" s="8"/>
      <c r="J813" s="9"/>
    </row>
    <row r="814" spans="9:10" ht="15.75" customHeight="1">
      <c r="I814" s="8"/>
      <c r="J814" s="9"/>
    </row>
    <row r="815" spans="9:10" ht="15.75" customHeight="1">
      <c r="I815" s="8"/>
      <c r="J815" s="9"/>
    </row>
    <row r="816" spans="9:10" ht="15.75" customHeight="1">
      <c r="I816" s="8"/>
      <c r="J816" s="9"/>
    </row>
    <row r="817" spans="9:10" ht="15.75" customHeight="1">
      <c r="I817" s="8"/>
      <c r="J817" s="9"/>
    </row>
    <row r="818" spans="9:10" ht="15.75" customHeight="1">
      <c r="I818" s="8"/>
      <c r="J818" s="9"/>
    </row>
    <row r="819" spans="9:10" ht="15.75" customHeight="1">
      <c r="I819" s="8"/>
      <c r="J819" s="9"/>
    </row>
    <row r="820" spans="9:10" ht="15.75" customHeight="1">
      <c r="I820" s="8"/>
      <c r="J820" s="9"/>
    </row>
    <row r="821" spans="9:10" ht="15.75" customHeight="1">
      <c r="I821" s="8"/>
      <c r="J821" s="9"/>
    </row>
    <row r="822" spans="9:10" ht="15.75" customHeight="1">
      <c r="I822" s="8"/>
      <c r="J822" s="9"/>
    </row>
    <row r="823" spans="9:10" ht="15.75" customHeight="1">
      <c r="I823" s="8"/>
      <c r="J823" s="9"/>
    </row>
    <row r="824" spans="9:10" ht="15.75" customHeight="1">
      <c r="I824" s="8"/>
      <c r="J824" s="9"/>
    </row>
    <row r="825" spans="9:10" ht="15.75" customHeight="1">
      <c r="I825" s="8"/>
      <c r="J825" s="9"/>
    </row>
    <row r="826" spans="9:10" ht="15.75" customHeight="1">
      <c r="I826" s="8"/>
      <c r="J826" s="9"/>
    </row>
    <row r="827" spans="9:10" ht="15.75" customHeight="1">
      <c r="I827" s="8"/>
      <c r="J827" s="9"/>
    </row>
    <row r="828" spans="9:10" ht="15.75" customHeight="1">
      <c r="I828" s="8"/>
      <c r="J828" s="9"/>
    </row>
    <row r="829" spans="9:10" ht="15.75" customHeight="1">
      <c r="I829" s="8"/>
      <c r="J829" s="9"/>
    </row>
    <row r="830" spans="9:10" ht="15.75" customHeight="1">
      <c r="I830" s="8"/>
      <c r="J830" s="9"/>
    </row>
    <row r="831" spans="9:10" ht="15.75" customHeight="1">
      <c r="I831" s="8"/>
      <c r="J831" s="9"/>
    </row>
    <row r="832" spans="9:10" ht="15.75" customHeight="1">
      <c r="I832" s="8"/>
      <c r="J832" s="9"/>
    </row>
    <row r="833" spans="9:10" ht="15.75" customHeight="1">
      <c r="I833" s="8"/>
      <c r="J833" s="9"/>
    </row>
    <row r="834" spans="9:10" ht="15.75" customHeight="1">
      <c r="I834" s="8"/>
      <c r="J834" s="9"/>
    </row>
    <row r="835" spans="9:10" ht="15.75" customHeight="1">
      <c r="I835" s="8"/>
      <c r="J835" s="9"/>
    </row>
    <row r="836" spans="9:10" ht="15.75" customHeight="1">
      <c r="I836" s="8"/>
      <c r="J836" s="9"/>
    </row>
    <row r="837" spans="9:10" ht="15.75" customHeight="1">
      <c r="I837" s="8"/>
      <c r="J837" s="9"/>
    </row>
    <row r="838" spans="9:10" ht="15.75" customHeight="1">
      <c r="I838" s="8"/>
      <c r="J838" s="9"/>
    </row>
    <row r="839" spans="9:10" ht="15.75" customHeight="1">
      <c r="I839" s="8"/>
      <c r="J839" s="9"/>
    </row>
    <row r="840" spans="9:10" ht="15.75" customHeight="1">
      <c r="I840" s="8"/>
      <c r="J840" s="9"/>
    </row>
    <row r="841" spans="9:10" ht="15.75" customHeight="1">
      <c r="I841" s="8"/>
      <c r="J841" s="9"/>
    </row>
    <row r="842" spans="9:10" ht="15.75" customHeight="1">
      <c r="I842" s="8"/>
      <c r="J842" s="9"/>
    </row>
    <row r="843" spans="9:10" ht="15.75" customHeight="1">
      <c r="I843" s="8"/>
      <c r="J843" s="9"/>
    </row>
    <row r="844" spans="9:10" ht="15.75" customHeight="1">
      <c r="I844" s="8"/>
      <c r="J844" s="9"/>
    </row>
    <row r="845" spans="9:10" ht="15.75" customHeight="1">
      <c r="I845" s="8"/>
      <c r="J845" s="9"/>
    </row>
    <row r="846" spans="9:10" ht="15.75" customHeight="1">
      <c r="I846" s="8"/>
      <c r="J846" s="9"/>
    </row>
    <row r="847" spans="9:10" ht="15.75" customHeight="1">
      <c r="I847" s="8"/>
      <c r="J847" s="9"/>
    </row>
    <row r="848" spans="9:10" ht="15.75" customHeight="1">
      <c r="I848" s="8"/>
      <c r="J848" s="9"/>
    </row>
    <row r="849" spans="9:10" ht="15.75" customHeight="1">
      <c r="I849" s="8"/>
      <c r="J849" s="9"/>
    </row>
    <row r="850" spans="9:10" ht="15.75" customHeight="1">
      <c r="I850" s="8"/>
      <c r="J850" s="9"/>
    </row>
    <row r="851" spans="9:10" ht="15.75" customHeight="1">
      <c r="I851" s="8"/>
      <c r="J851" s="9"/>
    </row>
    <row r="852" spans="9:10" ht="15.75" customHeight="1">
      <c r="I852" s="8"/>
      <c r="J852" s="9"/>
    </row>
    <row r="853" spans="9:10" ht="15.75" customHeight="1">
      <c r="I853" s="8"/>
      <c r="J853" s="9"/>
    </row>
    <row r="854" spans="9:10" ht="15.75" customHeight="1">
      <c r="I854" s="8"/>
      <c r="J854" s="9"/>
    </row>
    <row r="855" spans="9:10" ht="15.75" customHeight="1">
      <c r="I855" s="8"/>
      <c r="J855" s="9"/>
    </row>
    <row r="856" spans="9:10" ht="15.75" customHeight="1">
      <c r="I856" s="8"/>
      <c r="J856" s="9"/>
    </row>
    <row r="857" spans="9:10" ht="15.75" customHeight="1">
      <c r="I857" s="8"/>
      <c r="J857" s="9"/>
    </row>
    <row r="858" spans="9:10" ht="15.75" customHeight="1">
      <c r="I858" s="8"/>
      <c r="J858" s="9"/>
    </row>
    <row r="859" spans="9:10" ht="15.75" customHeight="1">
      <c r="I859" s="8"/>
      <c r="J859" s="9"/>
    </row>
    <row r="860" spans="9:10" ht="15.75" customHeight="1">
      <c r="I860" s="8"/>
      <c r="J860" s="9"/>
    </row>
    <row r="861" spans="9:10" ht="15.75" customHeight="1">
      <c r="I861" s="8"/>
      <c r="J861" s="9"/>
    </row>
    <row r="862" spans="9:10" ht="15.75" customHeight="1">
      <c r="I862" s="8"/>
      <c r="J862" s="9"/>
    </row>
    <row r="863" spans="9:10" ht="15.75" customHeight="1">
      <c r="I863" s="8"/>
      <c r="J863" s="9"/>
    </row>
    <row r="864" spans="9:10" ht="15.75" customHeight="1">
      <c r="I864" s="8"/>
      <c r="J864" s="9"/>
    </row>
    <row r="865" spans="9:10" ht="15.75" customHeight="1">
      <c r="I865" s="8"/>
      <c r="J865" s="9"/>
    </row>
    <row r="866" spans="9:10" ht="15.75" customHeight="1">
      <c r="I866" s="8"/>
      <c r="J866" s="9"/>
    </row>
    <row r="867" spans="9:10" ht="15.75" customHeight="1">
      <c r="I867" s="8"/>
      <c r="J867" s="9"/>
    </row>
    <row r="868" spans="9:10" ht="15.75" customHeight="1">
      <c r="I868" s="8"/>
      <c r="J868" s="9"/>
    </row>
    <row r="869" spans="9:10" ht="15.75" customHeight="1">
      <c r="I869" s="8"/>
      <c r="J869" s="9"/>
    </row>
    <row r="870" spans="9:10" ht="15.75" customHeight="1">
      <c r="I870" s="8"/>
      <c r="J870" s="9"/>
    </row>
    <row r="871" spans="9:10" ht="15.75" customHeight="1">
      <c r="I871" s="8"/>
      <c r="J871" s="9"/>
    </row>
    <row r="872" spans="9:10" ht="15.75" customHeight="1">
      <c r="I872" s="8"/>
      <c r="J872" s="9"/>
    </row>
    <row r="873" spans="9:10" ht="15.75" customHeight="1">
      <c r="I873" s="8"/>
      <c r="J873" s="9"/>
    </row>
    <row r="874" spans="9:10" ht="15.75" customHeight="1">
      <c r="I874" s="8"/>
      <c r="J874" s="9"/>
    </row>
    <row r="875" spans="9:10" ht="15.75" customHeight="1">
      <c r="I875" s="8"/>
      <c r="J875" s="9"/>
    </row>
    <row r="876" spans="9:10" ht="15.75" customHeight="1">
      <c r="I876" s="8"/>
      <c r="J876" s="9"/>
    </row>
    <row r="877" spans="9:10" ht="15.75" customHeight="1">
      <c r="I877" s="8"/>
      <c r="J877" s="9"/>
    </row>
    <row r="878" spans="9:10" ht="15.75" customHeight="1">
      <c r="I878" s="8"/>
      <c r="J878" s="9"/>
    </row>
    <row r="879" spans="9:10" ht="15.75" customHeight="1">
      <c r="I879" s="8"/>
      <c r="J879" s="9"/>
    </row>
    <row r="880" spans="9:10" ht="15.75" customHeight="1">
      <c r="I880" s="8"/>
      <c r="J880" s="9"/>
    </row>
    <row r="881" spans="9:10" ht="15.75" customHeight="1">
      <c r="I881" s="8"/>
      <c r="J881" s="9"/>
    </row>
    <row r="882" spans="9:10" ht="15.75" customHeight="1">
      <c r="I882" s="8"/>
      <c r="J882" s="9"/>
    </row>
    <row r="883" spans="9:10" ht="15.75" customHeight="1">
      <c r="I883" s="8"/>
      <c r="J883" s="9"/>
    </row>
    <row r="884" spans="9:10" ht="15.75" customHeight="1">
      <c r="I884" s="8"/>
      <c r="J884" s="9"/>
    </row>
    <row r="885" spans="9:10" ht="15.75" customHeight="1">
      <c r="I885" s="8"/>
      <c r="J885" s="9"/>
    </row>
    <row r="886" spans="9:10" ht="15.75" customHeight="1">
      <c r="I886" s="8"/>
      <c r="J886" s="9"/>
    </row>
    <row r="887" spans="9:10" ht="15.75" customHeight="1">
      <c r="I887" s="8"/>
      <c r="J887" s="9"/>
    </row>
    <row r="888" spans="9:10" ht="15.75" customHeight="1">
      <c r="I888" s="8"/>
      <c r="J888" s="9"/>
    </row>
    <row r="889" spans="9:10" ht="15.75" customHeight="1">
      <c r="I889" s="8"/>
      <c r="J889" s="9"/>
    </row>
    <row r="890" spans="9:10" ht="15.75" customHeight="1">
      <c r="I890" s="8"/>
      <c r="J890" s="9"/>
    </row>
    <row r="891" spans="9:10" ht="15.75" customHeight="1">
      <c r="I891" s="8"/>
      <c r="J891" s="9"/>
    </row>
    <row r="892" spans="9:10" ht="15.75" customHeight="1">
      <c r="I892" s="8"/>
      <c r="J892" s="9"/>
    </row>
    <row r="893" spans="9:10" ht="15.75" customHeight="1">
      <c r="I893" s="8"/>
      <c r="J893" s="9"/>
    </row>
    <row r="894" spans="9:10" ht="15.75" customHeight="1">
      <c r="I894" s="8"/>
      <c r="J894" s="9"/>
    </row>
    <row r="895" spans="9:10" ht="15.75" customHeight="1">
      <c r="I895" s="8"/>
      <c r="J895" s="9"/>
    </row>
    <row r="896" spans="9:10" ht="15.75" customHeight="1">
      <c r="I896" s="8"/>
      <c r="J896" s="9"/>
    </row>
    <row r="897" spans="9:10" ht="15.75" customHeight="1">
      <c r="I897" s="8"/>
      <c r="J897" s="9"/>
    </row>
    <row r="898" spans="9:10" ht="15.75" customHeight="1">
      <c r="I898" s="8"/>
      <c r="J898" s="9"/>
    </row>
    <row r="899" spans="9:10" ht="15.75" customHeight="1">
      <c r="I899" s="8"/>
      <c r="J899" s="9"/>
    </row>
    <row r="900" spans="9:10" ht="15.75" customHeight="1">
      <c r="I900" s="8"/>
      <c r="J900" s="9"/>
    </row>
    <row r="901" spans="9:10" ht="15.75" customHeight="1">
      <c r="I901" s="8"/>
      <c r="J901" s="9"/>
    </row>
    <row r="902" spans="9:10" ht="15.75" customHeight="1">
      <c r="I902" s="8"/>
      <c r="J902" s="9"/>
    </row>
    <row r="903" spans="9:10" ht="15.75" customHeight="1">
      <c r="I903" s="8"/>
      <c r="J903" s="9"/>
    </row>
    <row r="904" spans="9:10" ht="15.75" customHeight="1">
      <c r="I904" s="8"/>
      <c r="J904" s="9"/>
    </row>
    <row r="905" spans="9:10" ht="15.75" customHeight="1">
      <c r="I905" s="8"/>
      <c r="J905" s="9"/>
    </row>
    <row r="906" spans="9:10" ht="15.75" customHeight="1">
      <c r="I906" s="8"/>
      <c r="J906" s="9"/>
    </row>
    <row r="907" spans="9:10" ht="15.75" customHeight="1">
      <c r="I907" s="8"/>
      <c r="J907" s="9"/>
    </row>
    <row r="908" spans="9:10" ht="15.75" customHeight="1">
      <c r="I908" s="8"/>
      <c r="J908" s="9"/>
    </row>
    <row r="909" spans="9:10" ht="15.75" customHeight="1">
      <c r="I909" s="8"/>
      <c r="J909" s="9"/>
    </row>
    <row r="910" spans="9:10" ht="15.75" customHeight="1">
      <c r="I910" s="8"/>
      <c r="J910" s="9"/>
    </row>
    <row r="911" spans="9:10" ht="15.75" customHeight="1">
      <c r="I911" s="8"/>
      <c r="J911" s="9"/>
    </row>
    <row r="912" spans="9:10" ht="15.75" customHeight="1">
      <c r="I912" s="8"/>
      <c r="J912" s="9"/>
    </row>
    <row r="913" spans="9:10" ht="15.75" customHeight="1">
      <c r="I913" s="8"/>
      <c r="J913" s="9"/>
    </row>
    <row r="914" spans="9:10" ht="15.75" customHeight="1">
      <c r="I914" s="8"/>
      <c r="J914" s="9"/>
    </row>
    <row r="915" spans="9:10" ht="15.75" customHeight="1">
      <c r="I915" s="8"/>
      <c r="J915" s="9"/>
    </row>
    <row r="916" spans="9:10" ht="15.75" customHeight="1">
      <c r="I916" s="8"/>
      <c r="J916" s="9"/>
    </row>
    <row r="917" spans="9:10" ht="15.75" customHeight="1">
      <c r="I917" s="8"/>
      <c r="J917" s="9"/>
    </row>
    <row r="918" spans="9:10" ht="15.75" customHeight="1">
      <c r="I918" s="8"/>
      <c r="J918" s="9"/>
    </row>
    <row r="919" spans="9:10" ht="15.75" customHeight="1">
      <c r="I919" s="8"/>
      <c r="J919" s="9"/>
    </row>
    <row r="920" spans="9:10" ht="15.75" customHeight="1">
      <c r="I920" s="8"/>
      <c r="J920" s="9"/>
    </row>
    <row r="921" spans="9:10" ht="15.75" customHeight="1">
      <c r="I921" s="8"/>
      <c r="J921" s="9"/>
    </row>
    <row r="922" spans="9:10" ht="15.75" customHeight="1">
      <c r="I922" s="8"/>
      <c r="J922" s="9"/>
    </row>
    <row r="923" spans="9:10" ht="15.75" customHeight="1">
      <c r="I923" s="8"/>
      <c r="J923" s="9"/>
    </row>
    <row r="924" spans="9:10" ht="15.75" customHeight="1">
      <c r="I924" s="8"/>
      <c r="J924" s="9"/>
    </row>
    <row r="925" spans="9:10" ht="15.75" customHeight="1">
      <c r="I925" s="8"/>
      <c r="J925" s="9"/>
    </row>
    <row r="926" spans="9:10" ht="15.75" customHeight="1">
      <c r="I926" s="8"/>
      <c r="J926" s="9"/>
    </row>
    <row r="927" spans="9:10" ht="15.75" customHeight="1">
      <c r="I927" s="8"/>
      <c r="J927" s="9"/>
    </row>
    <row r="928" spans="9:10" ht="15.75" customHeight="1">
      <c r="I928" s="8"/>
      <c r="J928" s="9"/>
    </row>
    <row r="929" spans="9:10" ht="15.75" customHeight="1">
      <c r="I929" s="8"/>
      <c r="J929" s="9"/>
    </row>
    <row r="930" spans="9:10" ht="15.75" customHeight="1">
      <c r="I930" s="8"/>
      <c r="J930" s="9"/>
    </row>
    <row r="931" spans="9:10" ht="15.75" customHeight="1">
      <c r="I931" s="8"/>
      <c r="J931" s="9"/>
    </row>
    <row r="932" spans="9:10" ht="15.75" customHeight="1">
      <c r="I932" s="8"/>
      <c r="J932" s="9"/>
    </row>
    <row r="933" spans="9:10" ht="15.75" customHeight="1">
      <c r="I933" s="8"/>
      <c r="J933" s="9"/>
    </row>
    <row r="934" spans="9:10" ht="15.75" customHeight="1">
      <c r="I934" s="8"/>
      <c r="J934" s="9"/>
    </row>
    <row r="935" spans="9:10" ht="15.75" customHeight="1">
      <c r="I935" s="8"/>
      <c r="J935" s="9"/>
    </row>
    <row r="936" spans="9:10" ht="15.75" customHeight="1">
      <c r="I936" s="8"/>
      <c r="J936" s="9"/>
    </row>
    <row r="937" spans="9:10" ht="15.75" customHeight="1">
      <c r="I937" s="8"/>
      <c r="J937" s="9"/>
    </row>
    <row r="938" spans="9:10" ht="15.75" customHeight="1">
      <c r="I938" s="8"/>
      <c r="J938" s="9"/>
    </row>
    <row r="939" spans="9:10" ht="15.75" customHeight="1">
      <c r="I939" s="8"/>
      <c r="J939" s="9"/>
    </row>
    <row r="940" spans="9:10" ht="15.75" customHeight="1">
      <c r="I940" s="8"/>
      <c r="J940" s="9"/>
    </row>
    <row r="941" spans="9:10" ht="15.75" customHeight="1">
      <c r="I941" s="8"/>
      <c r="J941" s="9"/>
    </row>
    <row r="942" spans="9:10" ht="15.75" customHeight="1">
      <c r="I942" s="8"/>
      <c r="J942" s="9"/>
    </row>
    <row r="943" spans="9:10" ht="15.75" customHeight="1">
      <c r="I943" s="8"/>
      <c r="J943" s="9"/>
    </row>
    <row r="944" spans="9:10" ht="15.75" customHeight="1">
      <c r="I944" s="8"/>
      <c r="J944" s="9"/>
    </row>
    <row r="945" spans="9:10" ht="15.75" customHeight="1">
      <c r="I945" s="8"/>
      <c r="J945" s="9"/>
    </row>
    <row r="946" spans="9:10" ht="15.75" customHeight="1">
      <c r="I946" s="8"/>
      <c r="J946" s="9"/>
    </row>
    <row r="947" spans="9:10" ht="15.75" customHeight="1">
      <c r="I947" s="8"/>
      <c r="J947" s="9"/>
    </row>
    <row r="948" spans="9:10" ht="15.75" customHeight="1">
      <c r="I948" s="8"/>
      <c r="J948" s="9"/>
    </row>
    <row r="949" spans="9:10" ht="15.75" customHeight="1">
      <c r="I949" s="8"/>
      <c r="J949" s="9"/>
    </row>
    <row r="950" spans="9:10" ht="15.75" customHeight="1">
      <c r="I950" s="8"/>
      <c r="J950" s="9"/>
    </row>
    <row r="951" spans="9:10" ht="15.75" customHeight="1">
      <c r="I951" s="8"/>
      <c r="J951" s="9"/>
    </row>
    <row r="952" spans="9:10" ht="15.75" customHeight="1">
      <c r="I952" s="8"/>
      <c r="J952" s="9"/>
    </row>
    <row r="953" spans="9:10" ht="15.75" customHeight="1">
      <c r="I953" s="8"/>
      <c r="J953" s="9"/>
    </row>
    <row r="954" spans="9:10" ht="15.75" customHeight="1">
      <c r="I954" s="8"/>
      <c r="J954" s="9"/>
    </row>
    <row r="955" spans="9:10" ht="15.75" customHeight="1">
      <c r="I955" s="8"/>
      <c r="J955" s="9"/>
    </row>
    <row r="956" spans="9:10" ht="15.75" customHeight="1">
      <c r="I956" s="8"/>
      <c r="J956" s="9"/>
    </row>
    <row r="957" spans="9:10" ht="15.75" customHeight="1">
      <c r="I957" s="8"/>
      <c r="J957" s="9"/>
    </row>
    <row r="958" spans="9:10" ht="15.75" customHeight="1">
      <c r="I958" s="8"/>
      <c r="J958" s="9"/>
    </row>
    <row r="959" spans="9:10" ht="15.75" customHeight="1">
      <c r="I959" s="8"/>
      <c r="J959" s="9"/>
    </row>
    <row r="960" spans="9:10" ht="15.75" customHeight="1">
      <c r="I960" s="8"/>
      <c r="J960" s="9"/>
    </row>
    <row r="961" spans="9:10" ht="15.75" customHeight="1">
      <c r="I961" s="8"/>
      <c r="J961" s="9"/>
    </row>
    <row r="962" spans="9:10" ht="15.75" customHeight="1">
      <c r="I962" s="8"/>
      <c r="J962" s="9"/>
    </row>
    <row r="963" spans="9:10" ht="15.75" customHeight="1">
      <c r="I963" s="8"/>
      <c r="J963" s="9"/>
    </row>
    <row r="964" spans="9:10" ht="15.75" customHeight="1">
      <c r="I964" s="8"/>
      <c r="J964" s="9"/>
    </row>
    <row r="965" spans="9:10" ht="15.75" customHeight="1">
      <c r="I965" s="8"/>
      <c r="J965" s="9"/>
    </row>
    <row r="966" spans="9:10" ht="15.75" customHeight="1">
      <c r="I966" s="8"/>
      <c r="J966" s="9"/>
    </row>
    <row r="967" spans="9:10" ht="15.75" customHeight="1">
      <c r="I967" s="8"/>
      <c r="J967" s="9"/>
    </row>
    <row r="968" spans="9:10" ht="15.75" customHeight="1">
      <c r="I968" s="8"/>
      <c r="J968" s="9"/>
    </row>
    <row r="969" spans="9:10" ht="15.75" customHeight="1">
      <c r="I969" s="8"/>
      <c r="J969" s="9"/>
    </row>
    <row r="970" spans="9:10" ht="15.75" customHeight="1">
      <c r="I970" s="8"/>
      <c r="J970" s="9"/>
    </row>
    <row r="971" spans="9:10" ht="15.75" customHeight="1">
      <c r="I971" s="8"/>
      <c r="J971" s="9"/>
    </row>
    <row r="972" spans="9:10" ht="15.75" customHeight="1">
      <c r="I972" s="8"/>
      <c r="J972" s="9"/>
    </row>
    <row r="973" spans="9:10" ht="15.75" customHeight="1">
      <c r="I973" s="8"/>
      <c r="J973" s="9"/>
    </row>
    <row r="974" spans="9:10" ht="15.75" customHeight="1">
      <c r="I974" s="8"/>
      <c r="J974" s="9"/>
    </row>
    <row r="975" spans="9:10" ht="15.75" customHeight="1">
      <c r="I975" s="8"/>
      <c r="J975" s="9"/>
    </row>
    <row r="976" spans="9:10" ht="15.75" customHeight="1">
      <c r="I976" s="8"/>
      <c r="J976" s="9"/>
    </row>
    <row r="977" spans="9:10" ht="15.75" customHeight="1">
      <c r="I977" s="8"/>
      <c r="J977" s="9"/>
    </row>
    <row r="978" spans="9:10" ht="15.75" customHeight="1">
      <c r="I978" s="8"/>
      <c r="J978" s="9"/>
    </row>
    <row r="979" spans="9:10" ht="15.75" customHeight="1">
      <c r="I979" s="8"/>
      <c r="J979" s="9"/>
    </row>
    <row r="980" spans="9:10" ht="15.75" customHeight="1">
      <c r="I980" s="8"/>
      <c r="J980" s="9"/>
    </row>
    <row r="981" spans="9:10" ht="15.75" customHeight="1">
      <c r="I981" s="8"/>
      <c r="J981" s="9"/>
    </row>
    <row r="982" spans="9:10" ht="15.75" customHeight="1">
      <c r="I982" s="8"/>
      <c r="J982" s="9"/>
    </row>
    <row r="983" spans="9:10" ht="15.75" customHeight="1">
      <c r="I983" s="8"/>
      <c r="J983" s="9"/>
    </row>
    <row r="984" spans="9:10" ht="15.75" customHeight="1">
      <c r="I984" s="8"/>
      <c r="J984" s="9"/>
    </row>
    <row r="985" spans="9:10" ht="15.75" customHeight="1">
      <c r="I985" s="8"/>
      <c r="J985" s="9"/>
    </row>
    <row r="986" spans="9:10" ht="15.75" customHeight="1">
      <c r="I986" s="8"/>
      <c r="J986" s="9"/>
    </row>
    <row r="987" spans="9:10" ht="15.75" customHeight="1">
      <c r="I987" s="8"/>
      <c r="J987" s="9"/>
    </row>
    <row r="988" spans="9:10" ht="15.75" customHeight="1">
      <c r="I988" s="8"/>
      <c r="J988" s="9"/>
    </row>
    <row r="989" spans="9:10" ht="15.75" customHeight="1">
      <c r="I989" s="8"/>
      <c r="J989" s="9"/>
    </row>
    <row r="990" spans="9:10" ht="15.75" customHeight="1">
      <c r="I990" s="8"/>
      <c r="J990" s="9"/>
    </row>
    <row r="991" spans="9:10" ht="15.75" customHeight="1">
      <c r="I991" s="8"/>
      <c r="J991" s="9"/>
    </row>
    <row r="992" spans="9:10" ht="15.75" customHeight="1">
      <c r="I992" s="8"/>
      <c r="J992" s="9"/>
    </row>
    <row r="993" spans="9:10" ht="15.75" customHeight="1">
      <c r="I993" s="8"/>
      <c r="J993" s="9"/>
    </row>
    <row r="994" spans="9:10" ht="15.75" customHeight="1">
      <c r="I994" s="8"/>
      <c r="J994" s="9"/>
    </row>
    <row r="995" spans="9:10" ht="15.75" customHeight="1">
      <c r="I995" s="8"/>
      <c r="J995" s="9"/>
    </row>
    <row r="996" spans="9:10" ht="15.75" customHeight="1">
      <c r="I996" s="8"/>
      <c r="J996" s="9"/>
    </row>
    <row r="997" spans="9:10" ht="15.75" customHeight="1">
      <c r="I997" s="8"/>
      <c r="J997" s="9"/>
    </row>
    <row r="998" spans="9:10" ht="15.75" customHeight="1">
      <c r="I998" s="8"/>
      <c r="J998" s="9"/>
    </row>
    <row r="999" spans="9:10" ht="15.75" customHeight="1">
      <c r="I999" s="8"/>
      <c r="J999" s="9"/>
    </row>
    <row r="1000" spans="9:10" ht="15.75" customHeight="1">
      <c r="I1000" s="8"/>
      <c r="J1000" s="9"/>
    </row>
  </sheetData>
  <mergeCells count="22">
    <mergeCell ref="B3:H3"/>
    <mergeCell ref="I3:L3"/>
    <mergeCell ref="M3:M6"/>
    <mergeCell ref="B4:C4"/>
    <mergeCell ref="B5:L5"/>
    <mergeCell ref="B6:L6"/>
    <mergeCell ref="B9:L9"/>
    <mergeCell ref="B43:H43"/>
    <mergeCell ref="B47:L47"/>
    <mergeCell ref="B55:L55"/>
    <mergeCell ref="B62:L62"/>
    <mergeCell ref="B65:L65"/>
    <mergeCell ref="B68:L68"/>
    <mergeCell ref="B72:L72"/>
    <mergeCell ref="B75:H75"/>
    <mergeCell ref="B12:L12"/>
    <mergeCell ref="B15:L15"/>
    <mergeCell ref="B18:L18"/>
    <mergeCell ref="B25:L25"/>
    <mergeCell ref="B30:L30"/>
    <mergeCell ref="B33:L33"/>
    <mergeCell ref="B39:L39"/>
  </mergeCells>
  <pageMargins left="1" right="1" top="1" bottom="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N1000"/>
  <sheetViews>
    <sheetView topLeftCell="B1" workbookViewId="0"/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8.83203125" customWidth="1"/>
    <col min="4" max="8" width="18.5" customWidth="1"/>
    <col min="9" max="9" width="10.83203125" customWidth="1"/>
    <col min="10" max="10" width="9.6640625" customWidth="1"/>
    <col min="11" max="11" width="10" customWidth="1"/>
    <col min="12" max="12" width="8.5" customWidth="1"/>
    <col min="13" max="13" width="15" customWidth="1"/>
    <col min="14" max="14" width="14" customWidth="1"/>
    <col min="15" max="26" width="8.5" customWidth="1"/>
  </cols>
  <sheetData>
    <row r="1" spans="1:13">
      <c r="J1" s="9"/>
    </row>
    <row r="2" spans="1:13">
      <c r="J2" s="9"/>
    </row>
    <row r="3" spans="1:13" ht="21" customHeight="1">
      <c r="B3" s="160" t="s">
        <v>447</v>
      </c>
      <c r="C3" s="158"/>
      <c r="D3" s="158"/>
      <c r="E3" s="158"/>
      <c r="F3" s="158"/>
      <c r="G3" s="158"/>
      <c r="H3" s="159"/>
      <c r="I3" s="161" t="s">
        <v>1</v>
      </c>
      <c r="J3" s="158"/>
      <c r="K3" s="158"/>
      <c r="L3" s="159"/>
    </row>
    <row r="4" spans="1:13" ht="30" customHeight="1">
      <c r="B4" s="162" t="s">
        <v>448</v>
      </c>
      <c r="C4" s="159"/>
      <c r="D4" s="30">
        <v>1</v>
      </c>
      <c r="E4" s="30">
        <v>2</v>
      </c>
      <c r="F4" s="30">
        <v>3</v>
      </c>
      <c r="G4" s="30">
        <v>4</v>
      </c>
      <c r="H4" s="30">
        <v>5</v>
      </c>
      <c r="I4" s="31" t="s">
        <v>3</v>
      </c>
      <c r="J4" s="31" t="s">
        <v>4</v>
      </c>
      <c r="K4" s="31" t="s">
        <v>5</v>
      </c>
      <c r="L4" s="31" t="s">
        <v>6</v>
      </c>
    </row>
    <row r="5" spans="1:13" ht="30" customHeight="1">
      <c r="B5" s="163" t="s">
        <v>449</v>
      </c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1:13" ht="126" customHeight="1">
      <c r="A6" s="3"/>
      <c r="B6" s="32">
        <v>1</v>
      </c>
      <c r="C6" s="32" t="s">
        <v>450</v>
      </c>
      <c r="D6" s="32" t="s">
        <v>451</v>
      </c>
      <c r="E6" s="32" t="s">
        <v>452</v>
      </c>
      <c r="F6" s="32" t="s">
        <v>453</v>
      </c>
      <c r="G6" s="32" t="s">
        <v>454</v>
      </c>
      <c r="H6" s="32" t="s">
        <v>455</v>
      </c>
      <c r="I6" s="33">
        <v>2</v>
      </c>
      <c r="J6" s="34">
        <v>5</v>
      </c>
      <c r="K6" s="34">
        <v>5</v>
      </c>
      <c r="L6" s="35"/>
    </row>
    <row r="7" spans="1:13" ht="108.75" customHeight="1">
      <c r="A7" s="3"/>
      <c r="B7" s="32">
        <v>2</v>
      </c>
      <c r="C7" s="32" t="s">
        <v>456</v>
      </c>
      <c r="D7" s="32" t="s">
        <v>457</v>
      </c>
      <c r="E7" s="32" t="s">
        <v>458</v>
      </c>
      <c r="F7" s="32" t="s">
        <v>459</v>
      </c>
      <c r="G7" s="32" t="s">
        <v>460</v>
      </c>
      <c r="H7" s="32" t="s">
        <v>461</v>
      </c>
      <c r="I7" s="33">
        <v>4</v>
      </c>
      <c r="J7" s="34">
        <v>5</v>
      </c>
      <c r="K7" s="34">
        <v>5</v>
      </c>
      <c r="L7" s="35"/>
    </row>
    <row r="8" spans="1:13" ht="95.25" customHeight="1">
      <c r="A8" s="3"/>
      <c r="B8" s="32">
        <v>3</v>
      </c>
      <c r="C8" s="32" t="s">
        <v>462</v>
      </c>
      <c r="D8" s="32" t="s">
        <v>463</v>
      </c>
      <c r="E8" s="32" t="s">
        <v>464</v>
      </c>
      <c r="F8" s="32" t="s">
        <v>465</v>
      </c>
      <c r="G8" s="32" t="s">
        <v>466</v>
      </c>
      <c r="H8" s="32" t="s">
        <v>467</v>
      </c>
      <c r="I8" s="33">
        <v>4</v>
      </c>
      <c r="J8" s="34">
        <v>5</v>
      </c>
      <c r="K8" s="34">
        <v>5</v>
      </c>
      <c r="L8" s="35"/>
    </row>
    <row r="9" spans="1:13" ht="30" customHeight="1">
      <c r="B9" s="163" t="s">
        <v>468</v>
      </c>
      <c r="C9" s="158"/>
      <c r="D9" s="158"/>
      <c r="E9" s="158"/>
      <c r="F9" s="158"/>
      <c r="G9" s="158"/>
      <c r="H9" s="158"/>
      <c r="I9" s="158"/>
      <c r="J9" s="158"/>
      <c r="K9" s="158"/>
      <c r="L9" s="159"/>
      <c r="M9" s="36"/>
    </row>
    <row r="10" spans="1:13" ht="176">
      <c r="A10" s="3"/>
      <c r="B10" s="32">
        <v>4</v>
      </c>
      <c r="C10" s="32" t="s">
        <v>469</v>
      </c>
      <c r="D10" s="32" t="s">
        <v>470</v>
      </c>
      <c r="E10" s="32" t="s">
        <v>471</v>
      </c>
      <c r="F10" s="32" t="s">
        <v>472</v>
      </c>
      <c r="G10" s="32" t="s">
        <v>473</v>
      </c>
      <c r="H10" s="32" t="s">
        <v>474</v>
      </c>
      <c r="I10" s="33">
        <v>4</v>
      </c>
      <c r="J10" s="35"/>
      <c r="K10" s="35"/>
      <c r="L10" s="35"/>
    </row>
    <row r="11" spans="1:13" ht="64">
      <c r="A11" s="3"/>
      <c r="B11" s="32">
        <v>5</v>
      </c>
      <c r="C11" s="32" t="s">
        <v>475</v>
      </c>
      <c r="D11" s="32" t="s">
        <v>476</v>
      </c>
      <c r="E11" s="32" t="s">
        <v>477</v>
      </c>
      <c r="F11" s="32" t="s">
        <v>478</v>
      </c>
      <c r="G11" s="32" t="s">
        <v>479</v>
      </c>
      <c r="H11" s="32" t="s">
        <v>480</v>
      </c>
      <c r="I11" s="33">
        <v>3</v>
      </c>
      <c r="J11" s="35"/>
      <c r="K11" s="35"/>
      <c r="L11" s="35"/>
    </row>
    <row r="12" spans="1:13" ht="112">
      <c r="A12" s="3"/>
      <c r="B12" s="32">
        <v>6</v>
      </c>
      <c r="C12" s="32" t="s">
        <v>481</v>
      </c>
      <c r="D12" s="32" t="s">
        <v>482</v>
      </c>
      <c r="E12" s="32" t="s">
        <v>483</v>
      </c>
      <c r="F12" s="32" t="s">
        <v>484</v>
      </c>
      <c r="G12" s="32" t="s">
        <v>485</v>
      </c>
      <c r="H12" s="32" t="s">
        <v>486</v>
      </c>
      <c r="I12" s="33">
        <v>4</v>
      </c>
      <c r="J12" s="35"/>
      <c r="K12" s="35"/>
      <c r="L12" s="35"/>
    </row>
    <row r="13" spans="1:13" ht="112">
      <c r="A13" s="3"/>
      <c r="B13" s="32">
        <v>7</v>
      </c>
      <c r="C13" s="32" t="s">
        <v>487</v>
      </c>
      <c r="D13" s="32" t="s">
        <v>488</v>
      </c>
      <c r="E13" s="32" t="s">
        <v>489</v>
      </c>
      <c r="F13" s="32" t="s">
        <v>490</v>
      </c>
      <c r="G13" s="32" t="s">
        <v>491</v>
      </c>
      <c r="H13" s="32" t="s">
        <v>492</v>
      </c>
      <c r="I13" s="33">
        <v>4</v>
      </c>
      <c r="J13" s="35"/>
      <c r="K13" s="35"/>
      <c r="L13" s="35"/>
    </row>
    <row r="14" spans="1:13" ht="112">
      <c r="A14" s="3"/>
      <c r="B14" s="32">
        <v>8</v>
      </c>
      <c r="C14" s="32" t="s">
        <v>493</v>
      </c>
      <c r="D14" s="32" t="s">
        <v>494</v>
      </c>
      <c r="E14" s="32" t="s">
        <v>495</v>
      </c>
      <c r="F14" s="32" t="s">
        <v>496</v>
      </c>
      <c r="G14" s="32" t="s">
        <v>497</v>
      </c>
      <c r="H14" s="32" t="s">
        <v>498</v>
      </c>
      <c r="I14" s="33">
        <v>1</v>
      </c>
      <c r="J14" s="35"/>
      <c r="K14" s="35"/>
      <c r="L14" s="35"/>
      <c r="M14" s="37" t="s">
        <v>499</v>
      </c>
    </row>
    <row r="15" spans="1:13" ht="30" customHeight="1">
      <c r="B15" s="163" t="s">
        <v>500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9"/>
    </row>
    <row r="16" spans="1:13" ht="112">
      <c r="B16" s="32">
        <v>9</v>
      </c>
      <c r="C16" s="32" t="s">
        <v>501</v>
      </c>
      <c r="D16" s="32" t="s">
        <v>502</v>
      </c>
      <c r="E16" s="32" t="s">
        <v>503</v>
      </c>
      <c r="F16" s="32" t="s">
        <v>504</v>
      </c>
      <c r="G16" s="32" t="s">
        <v>505</v>
      </c>
      <c r="H16" s="32" t="s">
        <v>506</v>
      </c>
      <c r="I16" s="33">
        <v>4</v>
      </c>
      <c r="J16" s="34">
        <v>5</v>
      </c>
      <c r="K16" s="34">
        <v>5</v>
      </c>
      <c r="L16" s="35"/>
    </row>
    <row r="17" spans="2:14" ht="96">
      <c r="B17" s="32">
        <v>10</v>
      </c>
      <c r="C17" s="32" t="s">
        <v>507</v>
      </c>
      <c r="D17" s="32" t="s">
        <v>508</v>
      </c>
      <c r="E17" s="32" t="s">
        <v>509</v>
      </c>
      <c r="F17" s="32" t="s">
        <v>510</v>
      </c>
      <c r="G17" s="32" t="s">
        <v>511</v>
      </c>
      <c r="H17" s="32" t="s">
        <v>512</v>
      </c>
      <c r="I17" s="33">
        <v>3</v>
      </c>
      <c r="J17" s="34">
        <v>1</v>
      </c>
      <c r="K17" s="34">
        <v>5</v>
      </c>
      <c r="L17" s="35"/>
    </row>
    <row r="18" spans="2:14" ht="64">
      <c r="B18" s="32">
        <v>11</v>
      </c>
      <c r="C18" s="32" t="s">
        <v>513</v>
      </c>
      <c r="D18" s="32" t="s">
        <v>514</v>
      </c>
      <c r="E18" s="32" t="s">
        <v>515</v>
      </c>
      <c r="F18" s="32" t="s">
        <v>516</v>
      </c>
      <c r="G18" s="32" t="s">
        <v>517</v>
      </c>
      <c r="H18" s="32" t="s">
        <v>518</v>
      </c>
      <c r="I18" s="33">
        <v>5</v>
      </c>
      <c r="J18" s="34">
        <v>5</v>
      </c>
      <c r="K18" s="34">
        <v>5</v>
      </c>
      <c r="L18" s="35"/>
    </row>
    <row r="19" spans="2:14" ht="30" customHeight="1">
      <c r="B19" s="163" t="s">
        <v>519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9"/>
    </row>
    <row r="20" spans="2:14" ht="106">
      <c r="B20" s="32">
        <v>12</v>
      </c>
      <c r="C20" s="32" t="s">
        <v>520</v>
      </c>
      <c r="D20" s="32" t="s">
        <v>521</v>
      </c>
      <c r="E20" s="32" t="s">
        <v>522</v>
      </c>
      <c r="F20" s="32" t="s">
        <v>523</v>
      </c>
      <c r="G20" s="32" t="s">
        <v>524</v>
      </c>
      <c r="H20" s="32" t="s">
        <v>525</v>
      </c>
      <c r="I20" s="33">
        <v>2</v>
      </c>
      <c r="J20" s="34">
        <v>4.5</v>
      </c>
      <c r="K20" s="38">
        <v>4.5</v>
      </c>
      <c r="L20" s="35"/>
      <c r="M20" s="38" t="s">
        <v>526</v>
      </c>
      <c r="N20" s="37" t="s">
        <v>527</v>
      </c>
    </row>
    <row r="21" spans="2:14" ht="15.75" customHeight="1">
      <c r="B21" s="32">
        <v>13</v>
      </c>
      <c r="C21" s="32" t="s">
        <v>528</v>
      </c>
      <c r="D21" s="32" t="s">
        <v>529</v>
      </c>
      <c r="E21" s="32" t="s">
        <v>530</v>
      </c>
      <c r="F21" s="32" t="s">
        <v>531</v>
      </c>
      <c r="G21" s="32" t="s">
        <v>532</v>
      </c>
      <c r="H21" s="32" t="s">
        <v>533</v>
      </c>
      <c r="I21" s="33">
        <v>4</v>
      </c>
      <c r="J21" s="34">
        <v>3</v>
      </c>
      <c r="K21" s="34">
        <v>5</v>
      </c>
      <c r="L21" s="35"/>
    </row>
    <row r="22" spans="2:14" ht="30" customHeight="1">
      <c r="B22" s="163" t="s">
        <v>534</v>
      </c>
      <c r="C22" s="158"/>
      <c r="D22" s="158"/>
      <c r="E22" s="158"/>
      <c r="F22" s="158"/>
      <c r="G22" s="158"/>
      <c r="H22" s="158"/>
      <c r="I22" s="158"/>
      <c r="J22" s="158"/>
      <c r="K22" s="158"/>
      <c r="L22" s="159"/>
    </row>
    <row r="23" spans="2:14" ht="15.75" customHeight="1">
      <c r="B23" s="32">
        <v>14</v>
      </c>
      <c r="C23" s="32" t="s">
        <v>535</v>
      </c>
      <c r="D23" s="32" t="s">
        <v>536</v>
      </c>
      <c r="E23" s="32" t="s">
        <v>537</v>
      </c>
      <c r="F23" s="32" t="s">
        <v>538</v>
      </c>
      <c r="G23" s="32" t="s">
        <v>539</v>
      </c>
      <c r="H23" s="32" t="s">
        <v>540</v>
      </c>
      <c r="I23" s="32"/>
      <c r="J23" s="34">
        <v>5</v>
      </c>
      <c r="K23" s="35"/>
      <c r="L23" s="35"/>
    </row>
    <row r="24" spans="2:14" ht="15.75" customHeight="1">
      <c r="B24" s="32">
        <v>15</v>
      </c>
      <c r="C24" s="32" t="s">
        <v>541</v>
      </c>
      <c r="D24" s="32" t="s">
        <v>542</v>
      </c>
      <c r="E24" s="32" t="s">
        <v>543</v>
      </c>
      <c r="F24" s="32" t="s">
        <v>544</v>
      </c>
      <c r="G24" s="32" t="s">
        <v>545</v>
      </c>
      <c r="H24" s="32" t="s">
        <v>546</v>
      </c>
      <c r="I24" s="32"/>
      <c r="J24" s="34">
        <v>5</v>
      </c>
      <c r="K24" s="35"/>
      <c r="L24" s="35"/>
    </row>
    <row r="25" spans="2:14" ht="16.5" customHeight="1">
      <c r="B25" s="163" t="s">
        <v>547</v>
      </c>
      <c r="C25" s="158"/>
      <c r="D25" s="158"/>
      <c r="E25" s="158"/>
      <c r="F25" s="158"/>
      <c r="G25" s="158"/>
      <c r="H25" s="158"/>
      <c r="I25" s="158"/>
      <c r="J25" s="158"/>
      <c r="K25" s="158"/>
      <c r="L25" s="159"/>
    </row>
    <row r="26" spans="2:14" ht="15.75" customHeight="1">
      <c r="B26" s="32">
        <v>16</v>
      </c>
      <c r="C26" s="32" t="s">
        <v>548</v>
      </c>
      <c r="D26" s="32" t="s">
        <v>549</v>
      </c>
      <c r="E26" s="32" t="s">
        <v>550</v>
      </c>
      <c r="F26" s="32" t="s">
        <v>551</v>
      </c>
      <c r="G26" s="32" t="s">
        <v>552</v>
      </c>
      <c r="H26" s="32" t="s">
        <v>553</v>
      </c>
      <c r="I26" s="32"/>
      <c r="J26" s="35"/>
      <c r="K26" s="38">
        <v>5</v>
      </c>
      <c r="L26" s="35"/>
    </row>
    <row r="27" spans="2:14" ht="15.75" customHeight="1">
      <c r="B27" s="32">
        <v>17</v>
      </c>
      <c r="C27" s="32" t="s">
        <v>554</v>
      </c>
      <c r="D27" s="32" t="s">
        <v>555</v>
      </c>
      <c r="E27" s="32" t="s">
        <v>556</v>
      </c>
      <c r="F27" s="32" t="s">
        <v>557</v>
      </c>
      <c r="G27" s="32" t="s">
        <v>558</v>
      </c>
      <c r="H27" s="32" t="s">
        <v>559</v>
      </c>
      <c r="I27" s="32"/>
      <c r="J27" s="35"/>
      <c r="K27" s="34">
        <v>5</v>
      </c>
      <c r="L27" s="35"/>
    </row>
    <row r="28" spans="2:14" ht="16.5" customHeight="1">
      <c r="B28" s="163" t="s">
        <v>560</v>
      </c>
      <c r="C28" s="158"/>
      <c r="D28" s="158"/>
      <c r="E28" s="158"/>
      <c r="F28" s="158"/>
      <c r="G28" s="158"/>
      <c r="H28" s="158"/>
      <c r="I28" s="158"/>
      <c r="J28" s="158"/>
      <c r="K28" s="158"/>
      <c r="L28" s="159"/>
    </row>
    <row r="29" spans="2:14" ht="15.75" customHeight="1">
      <c r="B29" s="32">
        <v>18</v>
      </c>
      <c r="C29" s="32" t="s">
        <v>561</v>
      </c>
      <c r="D29" s="32" t="s">
        <v>562</v>
      </c>
      <c r="E29" s="32" t="s">
        <v>563</v>
      </c>
      <c r="F29" s="32" t="s">
        <v>564</v>
      </c>
      <c r="G29" s="32" t="s">
        <v>565</v>
      </c>
      <c r="H29" s="32" t="s">
        <v>566</v>
      </c>
      <c r="I29" s="32"/>
      <c r="J29" s="35"/>
      <c r="K29" s="34">
        <v>5</v>
      </c>
      <c r="L29" s="34">
        <v>2</v>
      </c>
    </row>
    <row r="30" spans="2:14" ht="15.75" customHeight="1">
      <c r="B30" s="32">
        <v>19</v>
      </c>
      <c r="C30" s="32" t="s">
        <v>567</v>
      </c>
      <c r="D30" s="32" t="s">
        <v>568</v>
      </c>
      <c r="E30" s="32" t="s">
        <v>569</v>
      </c>
      <c r="F30" s="32" t="s">
        <v>570</v>
      </c>
      <c r="G30" s="32" t="s">
        <v>571</v>
      </c>
      <c r="H30" s="32" t="s">
        <v>572</v>
      </c>
      <c r="I30" s="32"/>
      <c r="J30" s="35"/>
      <c r="K30" s="34">
        <v>5</v>
      </c>
      <c r="L30" s="34">
        <v>2</v>
      </c>
    </row>
    <row r="31" spans="2:14" ht="15.75" customHeight="1">
      <c r="B31" s="32">
        <v>20</v>
      </c>
      <c r="C31" s="32" t="s">
        <v>573</v>
      </c>
      <c r="D31" s="32" t="s">
        <v>574</v>
      </c>
      <c r="E31" s="32" t="s">
        <v>575</v>
      </c>
      <c r="F31" s="32" t="s">
        <v>576</v>
      </c>
      <c r="G31" s="32" t="s">
        <v>577</v>
      </c>
      <c r="H31" s="32" t="s">
        <v>578</v>
      </c>
      <c r="I31" s="32"/>
      <c r="J31" s="35"/>
      <c r="K31" s="34">
        <v>5</v>
      </c>
      <c r="L31" s="35"/>
    </row>
    <row r="32" spans="2:14" ht="15.75" customHeight="1">
      <c r="B32" s="32">
        <v>21</v>
      </c>
      <c r="C32" s="32" t="s">
        <v>579</v>
      </c>
      <c r="D32" s="32" t="s">
        <v>580</v>
      </c>
      <c r="E32" s="32" t="s">
        <v>581</v>
      </c>
      <c r="F32" s="32" t="s">
        <v>582</v>
      </c>
      <c r="G32" s="32" t="s">
        <v>583</v>
      </c>
      <c r="H32" s="32" t="s">
        <v>584</v>
      </c>
      <c r="I32" s="32"/>
      <c r="J32" s="35"/>
      <c r="K32" s="34">
        <v>5</v>
      </c>
      <c r="L32" s="34">
        <v>4</v>
      </c>
    </row>
    <row r="33" spans="2:12" ht="15.75" customHeight="1">
      <c r="B33" s="32">
        <v>22</v>
      </c>
      <c r="C33" s="32" t="s">
        <v>585</v>
      </c>
      <c r="D33" s="32" t="s">
        <v>586</v>
      </c>
      <c r="E33" s="32" t="s">
        <v>587</v>
      </c>
      <c r="F33" s="32" t="s">
        <v>588</v>
      </c>
      <c r="G33" s="32" t="s">
        <v>589</v>
      </c>
      <c r="H33" s="32" t="s">
        <v>590</v>
      </c>
      <c r="I33" s="32"/>
      <c r="J33" s="35"/>
      <c r="K33" s="34">
        <v>5</v>
      </c>
      <c r="L33" s="34">
        <v>4</v>
      </c>
    </row>
    <row r="34" spans="2:12" ht="15.75" customHeight="1">
      <c r="B34" s="32">
        <v>23</v>
      </c>
      <c r="C34" s="32" t="s">
        <v>591</v>
      </c>
      <c r="D34" s="32" t="s">
        <v>592</v>
      </c>
      <c r="E34" s="32" t="s">
        <v>593</v>
      </c>
      <c r="F34" s="32" t="s">
        <v>594</v>
      </c>
      <c r="G34" s="32" t="s">
        <v>595</v>
      </c>
      <c r="H34" s="32" t="s">
        <v>596</v>
      </c>
      <c r="I34" s="32"/>
      <c r="J34" s="35"/>
      <c r="K34" s="34">
        <v>4</v>
      </c>
      <c r="L34" s="35"/>
    </row>
    <row r="35" spans="2:12" ht="16.5" customHeight="1">
      <c r="B35" s="164" t="s">
        <v>597</v>
      </c>
      <c r="C35" s="158"/>
      <c r="D35" s="158"/>
      <c r="E35" s="158"/>
      <c r="F35" s="158"/>
      <c r="G35" s="158"/>
      <c r="H35" s="158"/>
      <c r="I35" s="158"/>
      <c r="J35" s="158"/>
      <c r="K35" s="158"/>
      <c r="L35" s="159"/>
    </row>
    <row r="36" spans="2:12" ht="15.75" customHeight="1">
      <c r="B36" s="32">
        <v>24</v>
      </c>
      <c r="C36" s="32" t="s">
        <v>598</v>
      </c>
      <c r="D36" s="32" t="s">
        <v>599</v>
      </c>
      <c r="E36" s="32" t="s">
        <v>600</v>
      </c>
      <c r="F36" s="32" t="s">
        <v>601</v>
      </c>
      <c r="G36" s="32" t="s">
        <v>602</v>
      </c>
      <c r="H36" s="32" t="s">
        <v>603</v>
      </c>
      <c r="I36" s="32"/>
      <c r="J36" s="34">
        <v>4</v>
      </c>
      <c r="K36" s="34">
        <v>5</v>
      </c>
      <c r="L36" s="35"/>
    </row>
    <row r="37" spans="2:12" ht="15.75" customHeight="1">
      <c r="B37" s="32">
        <v>25</v>
      </c>
      <c r="C37" s="32" t="s">
        <v>604</v>
      </c>
      <c r="D37" s="32" t="s">
        <v>605</v>
      </c>
      <c r="E37" s="32" t="s">
        <v>606</v>
      </c>
      <c r="F37" s="32" t="s">
        <v>607</v>
      </c>
      <c r="G37" s="32" t="s">
        <v>608</v>
      </c>
      <c r="H37" s="32" t="s">
        <v>609</v>
      </c>
      <c r="I37" s="32"/>
      <c r="J37" s="34">
        <v>4</v>
      </c>
      <c r="K37" s="34">
        <v>3</v>
      </c>
      <c r="L37" s="35"/>
    </row>
    <row r="38" spans="2:12" ht="16.5" customHeight="1">
      <c r="B38" s="163" t="s">
        <v>610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9"/>
    </row>
    <row r="39" spans="2:12" ht="15.75" customHeight="1">
      <c r="B39" s="32">
        <v>26</v>
      </c>
      <c r="C39" s="32" t="s">
        <v>611</v>
      </c>
      <c r="D39" s="32" t="s">
        <v>612</v>
      </c>
      <c r="E39" s="32" t="s">
        <v>613</v>
      </c>
      <c r="F39" s="32" t="s">
        <v>614</v>
      </c>
      <c r="G39" s="32" t="s">
        <v>615</v>
      </c>
      <c r="H39" s="32" t="s">
        <v>616</v>
      </c>
      <c r="I39" s="33">
        <v>5</v>
      </c>
      <c r="J39" s="34">
        <v>4.5</v>
      </c>
      <c r="K39" s="34">
        <v>5</v>
      </c>
      <c r="L39" s="34">
        <v>5</v>
      </c>
    </row>
    <row r="40" spans="2:12" ht="15.75" customHeight="1">
      <c r="B40" s="32">
        <v>27</v>
      </c>
      <c r="C40" s="32" t="s">
        <v>617</v>
      </c>
      <c r="D40" s="32" t="s">
        <v>618</v>
      </c>
      <c r="E40" s="32" t="s">
        <v>619</v>
      </c>
      <c r="F40" s="32" t="s">
        <v>620</v>
      </c>
      <c r="G40" s="32" t="s">
        <v>621</v>
      </c>
      <c r="H40" s="32" t="s">
        <v>622</v>
      </c>
      <c r="I40" s="33">
        <v>5</v>
      </c>
      <c r="J40" s="34">
        <v>5</v>
      </c>
      <c r="K40" s="34">
        <v>5</v>
      </c>
      <c r="L40" s="34">
        <v>5</v>
      </c>
    </row>
    <row r="41" spans="2:12" ht="15.75" customHeight="1">
      <c r="B41" s="32">
        <v>28</v>
      </c>
      <c r="C41" s="32" t="s">
        <v>623</v>
      </c>
      <c r="D41" s="32" t="s">
        <v>624</v>
      </c>
      <c r="E41" s="32" t="s">
        <v>625</v>
      </c>
      <c r="F41" s="32" t="s">
        <v>626</v>
      </c>
      <c r="G41" s="32" t="s">
        <v>627</v>
      </c>
      <c r="H41" s="32" t="s">
        <v>628</v>
      </c>
      <c r="I41" s="33">
        <v>5</v>
      </c>
      <c r="J41" s="34">
        <v>4</v>
      </c>
      <c r="K41" s="34">
        <v>5</v>
      </c>
      <c r="L41" s="34">
        <v>5</v>
      </c>
    </row>
    <row r="42" spans="2:12" ht="15.75" customHeight="1">
      <c r="B42" s="32">
        <v>29</v>
      </c>
      <c r="C42" s="32" t="s">
        <v>629</v>
      </c>
      <c r="D42" s="32" t="s">
        <v>630</v>
      </c>
      <c r="E42" s="32" t="s">
        <v>631</v>
      </c>
      <c r="F42" s="32" t="s">
        <v>632</v>
      </c>
      <c r="G42" s="32" t="s">
        <v>633</v>
      </c>
      <c r="H42" s="32" t="s">
        <v>634</v>
      </c>
      <c r="I42" s="33">
        <v>1</v>
      </c>
      <c r="J42" s="34">
        <v>5</v>
      </c>
      <c r="K42" s="34">
        <v>4</v>
      </c>
      <c r="L42" s="34">
        <v>5</v>
      </c>
    </row>
    <row r="43" spans="2:12" ht="15.75" customHeight="1">
      <c r="B43" s="32">
        <v>30</v>
      </c>
      <c r="C43" s="32" t="s">
        <v>635</v>
      </c>
      <c r="D43" s="32" t="s">
        <v>636</v>
      </c>
      <c r="E43" s="32" t="s">
        <v>637</v>
      </c>
      <c r="F43" s="32" t="s">
        <v>638</v>
      </c>
      <c r="G43" s="32" t="s">
        <v>639</v>
      </c>
      <c r="H43" s="32" t="s">
        <v>640</v>
      </c>
      <c r="I43" s="33">
        <v>5</v>
      </c>
      <c r="J43" s="34">
        <v>1</v>
      </c>
      <c r="K43" s="34">
        <v>1</v>
      </c>
      <c r="L43" s="35"/>
    </row>
    <row r="44" spans="2:12" ht="15.75" customHeight="1">
      <c r="B44" s="157" t="s">
        <v>108</v>
      </c>
      <c r="C44" s="158"/>
      <c r="D44" s="158"/>
      <c r="E44" s="158"/>
      <c r="F44" s="158"/>
      <c r="G44" s="158"/>
      <c r="H44" s="159"/>
      <c r="I44" s="39">
        <f t="shared" ref="I44:L44" si="0">SUM(I6:I8,I10:I14,I16:I18,I20:I21,I23:I24,I26:I27,I29:I34,I36:I37,I39:I43)</f>
        <v>65</v>
      </c>
      <c r="J44" s="40">
        <f t="shared" si="0"/>
        <v>71</v>
      </c>
      <c r="K44" s="39">
        <f t="shared" si="0"/>
        <v>106.5</v>
      </c>
      <c r="L44" s="39">
        <f t="shared" si="0"/>
        <v>32</v>
      </c>
    </row>
    <row r="45" spans="2:12" ht="15.75" customHeight="1">
      <c r="I45" s="29">
        <f>COUNT(I6,I7,I8,I10,I11,I12,I13,I14,I16,I17,I18,I20,I21,I39,I40,I41,I42,I43)</f>
        <v>18</v>
      </c>
      <c r="J45" s="9">
        <f>COUNT(J6,J7,J8,J16,J17,J18,J20,J21,J23,J24,J36,J37,J39,J40,J41,J42,J43)</f>
        <v>17</v>
      </c>
      <c r="K45" s="29">
        <f>COUNT(K6,K7,K8,K16,K17,K18,K20,K21,K26,K27,K29,K30,K31,K32,K33,K34,K36,K37,K39,K40,K41,K42,K43)</f>
        <v>23</v>
      </c>
      <c r="L45" s="29">
        <f>COUNT(L29,L30,L32,L33,L39,L40,L41,L42)</f>
        <v>8</v>
      </c>
    </row>
    <row r="46" spans="2:12" ht="15.75" customHeight="1">
      <c r="I46" s="29">
        <f t="shared" ref="I46:L46" si="1">I45*5</f>
        <v>90</v>
      </c>
      <c r="J46" s="9">
        <f t="shared" si="1"/>
        <v>85</v>
      </c>
      <c r="K46" s="29">
        <f t="shared" si="1"/>
        <v>115</v>
      </c>
      <c r="L46" s="29">
        <f t="shared" si="1"/>
        <v>40</v>
      </c>
    </row>
    <row r="47" spans="2:12" ht="15.75" customHeight="1">
      <c r="J47" s="9"/>
    </row>
    <row r="48" spans="2:12" ht="15.75" customHeight="1">
      <c r="J48" s="9"/>
    </row>
    <row r="49" spans="10:10" ht="15.75" customHeight="1">
      <c r="J49" s="9"/>
    </row>
    <row r="50" spans="10:10" ht="15.75" customHeight="1">
      <c r="J50" s="9"/>
    </row>
    <row r="51" spans="10:10" ht="15.75" customHeight="1">
      <c r="J51" s="9"/>
    </row>
    <row r="52" spans="10:10" ht="15.75" customHeight="1">
      <c r="J52" s="9"/>
    </row>
    <row r="53" spans="10:10" ht="15.75" customHeight="1">
      <c r="J53" s="9"/>
    </row>
    <row r="54" spans="10:10" ht="15.75" customHeight="1">
      <c r="J54" s="9"/>
    </row>
    <row r="55" spans="10:10" ht="15.75" customHeight="1">
      <c r="J55" s="9"/>
    </row>
    <row r="56" spans="10:10" ht="15.75" customHeight="1">
      <c r="J56" s="9"/>
    </row>
    <row r="57" spans="10:10" ht="15.75" customHeight="1">
      <c r="J57" s="9"/>
    </row>
    <row r="58" spans="10:10" ht="15.75" customHeight="1">
      <c r="J58" s="9"/>
    </row>
    <row r="59" spans="10:10" ht="15.75" customHeight="1">
      <c r="J59" s="9"/>
    </row>
    <row r="60" spans="10:10" ht="15.75" customHeight="1">
      <c r="J60" s="9"/>
    </row>
    <row r="61" spans="10:10" ht="15.75" customHeight="1">
      <c r="J61" s="9"/>
    </row>
    <row r="62" spans="10:10" ht="15.75" customHeight="1">
      <c r="J62" s="9"/>
    </row>
    <row r="63" spans="10:10" ht="15.75" customHeight="1">
      <c r="J63" s="9"/>
    </row>
    <row r="64" spans="10:10" ht="15.75" customHeight="1">
      <c r="J64" s="9"/>
    </row>
    <row r="65" spans="10:10" ht="15.75" customHeight="1">
      <c r="J65" s="9"/>
    </row>
    <row r="66" spans="10:10" ht="15.75" customHeight="1">
      <c r="J66" s="9"/>
    </row>
    <row r="67" spans="10:10" ht="15.75" customHeight="1">
      <c r="J67" s="9"/>
    </row>
    <row r="68" spans="10:10" ht="15.75" customHeight="1">
      <c r="J68" s="9"/>
    </row>
    <row r="69" spans="10:10" ht="15.75" customHeight="1">
      <c r="J69" s="9"/>
    </row>
    <row r="70" spans="10:10" ht="15.75" customHeight="1">
      <c r="J70" s="9"/>
    </row>
    <row r="71" spans="10:10" ht="15.75" customHeight="1">
      <c r="J71" s="9"/>
    </row>
    <row r="72" spans="10:10" ht="15.75" customHeight="1">
      <c r="J72" s="9"/>
    </row>
    <row r="73" spans="10:10" ht="15.75" customHeight="1">
      <c r="J73" s="9"/>
    </row>
    <row r="74" spans="10:10" ht="15.75" customHeight="1">
      <c r="J74" s="9"/>
    </row>
    <row r="75" spans="10:10" ht="15.75" customHeight="1">
      <c r="J75" s="9"/>
    </row>
    <row r="76" spans="10:10" ht="15.75" customHeight="1">
      <c r="J76" s="9"/>
    </row>
    <row r="77" spans="10:10" ht="15.75" customHeight="1">
      <c r="J77" s="9"/>
    </row>
    <row r="78" spans="10:10" ht="15.75" customHeight="1">
      <c r="J78" s="9"/>
    </row>
    <row r="79" spans="10:10" ht="15.75" customHeight="1">
      <c r="J79" s="9"/>
    </row>
    <row r="80" spans="10:10" ht="15.75" customHeight="1">
      <c r="J80" s="9"/>
    </row>
    <row r="81" spans="10:10" ht="15.75" customHeight="1">
      <c r="J81" s="9"/>
    </row>
    <row r="82" spans="10:10" ht="15.75" customHeight="1">
      <c r="J82" s="9"/>
    </row>
    <row r="83" spans="10:10" ht="15.75" customHeight="1">
      <c r="J83" s="9"/>
    </row>
    <row r="84" spans="10:10" ht="15.75" customHeight="1">
      <c r="J84" s="9"/>
    </row>
    <row r="85" spans="10:10" ht="15.75" customHeight="1">
      <c r="J85" s="9"/>
    </row>
    <row r="86" spans="10:10" ht="15.75" customHeight="1">
      <c r="J86" s="9"/>
    </row>
    <row r="87" spans="10:10" ht="15.75" customHeight="1">
      <c r="J87" s="9"/>
    </row>
    <row r="88" spans="10:10" ht="15.75" customHeight="1">
      <c r="J88" s="9"/>
    </row>
    <row r="89" spans="10:10" ht="15.75" customHeight="1">
      <c r="J89" s="9"/>
    </row>
    <row r="90" spans="10:10" ht="15.75" customHeight="1">
      <c r="J90" s="9"/>
    </row>
    <row r="91" spans="10:10" ht="15.75" customHeight="1">
      <c r="J91" s="9"/>
    </row>
    <row r="92" spans="10:10" ht="15.75" customHeight="1">
      <c r="J92" s="9"/>
    </row>
    <row r="93" spans="10:10" ht="15.75" customHeight="1">
      <c r="J93" s="9"/>
    </row>
    <row r="94" spans="10:10" ht="15.75" customHeight="1">
      <c r="J94" s="9"/>
    </row>
    <row r="95" spans="10:10" ht="15.75" customHeight="1">
      <c r="J95" s="9"/>
    </row>
    <row r="96" spans="10:10" ht="15.75" customHeight="1">
      <c r="J96" s="9"/>
    </row>
    <row r="97" spans="10:10" ht="15.75" customHeight="1">
      <c r="J97" s="9"/>
    </row>
    <row r="98" spans="10:10" ht="15.75" customHeight="1">
      <c r="J98" s="9"/>
    </row>
    <row r="99" spans="10:10" ht="15.75" customHeight="1">
      <c r="J99" s="9"/>
    </row>
    <row r="100" spans="10:10" ht="15.75" customHeight="1">
      <c r="J100" s="9"/>
    </row>
    <row r="101" spans="10:10" ht="15.75" customHeight="1">
      <c r="J101" s="9"/>
    </row>
    <row r="102" spans="10:10" ht="15.75" customHeight="1">
      <c r="J102" s="9"/>
    </row>
    <row r="103" spans="10:10" ht="15.75" customHeight="1">
      <c r="J103" s="9"/>
    </row>
    <row r="104" spans="10:10" ht="15.75" customHeight="1">
      <c r="J104" s="9"/>
    </row>
    <row r="105" spans="10:10" ht="15.75" customHeight="1">
      <c r="J105" s="9"/>
    </row>
    <row r="106" spans="10:10" ht="15.75" customHeight="1">
      <c r="J106" s="9"/>
    </row>
    <row r="107" spans="10:10" ht="15.75" customHeight="1">
      <c r="J107" s="9"/>
    </row>
    <row r="108" spans="10:10" ht="15.75" customHeight="1">
      <c r="J108" s="9"/>
    </row>
    <row r="109" spans="10:10" ht="15.75" customHeight="1">
      <c r="J109" s="9"/>
    </row>
    <row r="110" spans="10:10" ht="15.75" customHeight="1">
      <c r="J110" s="9"/>
    </row>
    <row r="111" spans="10:10" ht="15.75" customHeight="1">
      <c r="J111" s="9"/>
    </row>
    <row r="112" spans="10:10" ht="15.75" customHeight="1">
      <c r="J112" s="9"/>
    </row>
    <row r="113" spans="10:10" ht="15.75" customHeight="1">
      <c r="J113" s="9"/>
    </row>
    <row r="114" spans="10:10" ht="15.75" customHeight="1">
      <c r="J114" s="9"/>
    </row>
    <row r="115" spans="10:10" ht="15.75" customHeight="1">
      <c r="J115" s="9"/>
    </row>
    <row r="116" spans="10:10" ht="15.75" customHeight="1">
      <c r="J116" s="9"/>
    </row>
    <row r="117" spans="10:10" ht="15.75" customHeight="1">
      <c r="J117" s="9"/>
    </row>
    <row r="118" spans="10:10" ht="15.75" customHeight="1">
      <c r="J118" s="9"/>
    </row>
    <row r="119" spans="10:10" ht="15.75" customHeight="1">
      <c r="J119" s="9"/>
    </row>
    <row r="120" spans="10:10" ht="15.75" customHeight="1">
      <c r="J120" s="9"/>
    </row>
    <row r="121" spans="10:10" ht="15.75" customHeight="1">
      <c r="J121" s="9"/>
    </row>
    <row r="122" spans="10:10" ht="15.75" customHeight="1">
      <c r="J122" s="9"/>
    </row>
    <row r="123" spans="10:10" ht="15.75" customHeight="1">
      <c r="J123" s="9"/>
    </row>
    <row r="124" spans="10:10" ht="15.75" customHeight="1">
      <c r="J124" s="9"/>
    </row>
    <row r="125" spans="10:10" ht="15.75" customHeight="1">
      <c r="J125" s="9"/>
    </row>
    <row r="126" spans="10:10" ht="15.75" customHeight="1">
      <c r="J126" s="9"/>
    </row>
    <row r="127" spans="10:10" ht="15.75" customHeight="1">
      <c r="J127" s="9"/>
    </row>
    <row r="128" spans="10:10" ht="15.75" customHeight="1">
      <c r="J128" s="9"/>
    </row>
    <row r="129" spans="10:10" ht="15.75" customHeight="1">
      <c r="J129" s="9"/>
    </row>
    <row r="130" spans="10:10" ht="15.75" customHeight="1">
      <c r="J130" s="9"/>
    </row>
    <row r="131" spans="10:10" ht="15.75" customHeight="1">
      <c r="J131" s="9"/>
    </row>
    <row r="132" spans="10:10" ht="15.75" customHeight="1">
      <c r="J132" s="9"/>
    </row>
    <row r="133" spans="10:10" ht="15.75" customHeight="1">
      <c r="J133" s="9"/>
    </row>
    <row r="134" spans="10:10" ht="15.75" customHeight="1">
      <c r="J134" s="9"/>
    </row>
    <row r="135" spans="10:10" ht="15.75" customHeight="1">
      <c r="J135" s="9"/>
    </row>
    <row r="136" spans="10:10" ht="15.75" customHeight="1">
      <c r="J136" s="9"/>
    </row>
    <row r="137" spans="10:10" ht="15.75" customHeight="1">
      <c r="J137" s="9"/>
    </row>
    <row r="138" spans="10:10" ht="15.75" customHeight="1">
      <c r="J138" s="9"/>
    </row>
    <row r="139" spans="10:10" ht="15.75" customHeight="1">
      <c r="J139" s="9"/>
    </row>
    <row r="140" spans="10:10" ht="15.75" customHeight="1">
      <c r="J140" s="9"/>
    </row>
    <row r="141" spans="10:10" ht="15.75" customHeight="1">
      <c r="J141" s="9"/>
    </row>
    <row r="142" spans="10:10" ht="15.75" customHeight="1">
      <c r="J142" s="9"/>
    </row>
    <row r="143" spans="10:10" ht="15.75" customHeight="1">
      <c r="J143" s="9"/>
    </row>
    <row r="144" spans="10:10" ht="15.75" customHeight="1">
      <c r="J144" s="9"/>
    </row>
    <row r="145" spans="10:10" ht="15.75" customHeight="1">
      <c r="J145" s="9"/>
    </row>
    <row r="146" spans="10:10" ht="15.75" customHeight="1">
      <c r="J146" s="9"/>
    </row>
    <row r="147" spans="10:10" ht="15.75" customHeight="1">
      <c r="J147" s="9"/>
    </row>
    <row r="148" spans="10:10" ht="15.75" customHeight="1">
      <c r="J148" s="9"/>
    </row>
    <row r="149" spans="10:10" ht="15.75" customHeight="1">
      <c r="J149" s="9"/>
    </row>
    <row r="150" spans="10:10" ht="15.75" customHeight="1">
      <c r="J150" s="9"/>
    </row>
    <row r="151" spans="10:10" ht="15.75" customHeight="1">
      <c r="J151" s="9"/>
    </row>
    <row r="152" spans="10:10" ht="15.75" customHeight="1">
      <c r="J152" s="9"/>
    </row>
    <row r="153" spans="10:10" ht="15.75" customHeight="1">
      <c r="J153" s="9"/>
    </row>
    <row r="154" spans="10:10" ht="15.75" customHeight="1">
      <c r="J154" s="9"/>
    </row>
    <row r="155" spans="10:10" ht="15.75" customHeight="1">
      <c r="J155" s="9"/>
    </row>
    <row r="156" spans="10:10" ht="15.75" customHeight="1">
      <c r="J156" s="9"/>
    </row>
    <row r="157" spans="10:10" ht="15.75" customHeight="1">
      <c r="J157" s="9"/>
    </row>
    <row r="158" spans="10:10" ht="15.75" customHeight="1">
      <c r="J158" s="9"/>
    </row>
    <row r="159" spans="10:10" ht="15.75" customHeight="1">
      <c r="J159" s="9"/>
    </row>
    <row r="160" spans="10:10" ht="15.75" customHeight="1">
      <c r="J160" s="9"/>
    </row>
    <row r="161" spans="10:10" ht="15.75" customHeight="1">
      <c r="J161" s="9"/>
    </row>
    <row r="162" spans="10:10" ht="15.75" customHeight="1">
      <c r="J162" s="9"/>
    </row>
    <row r="163" spans="10:10" ht="15.75" customHeight="1">
      <c r="J163" s="9"/>
    </row>
    <row r="164" spans="10:10" ht="15.75" customHeight="1">
      <c r="J164" s="9"/>
    </row>
    <row r="165" spans="10:10" ht="15.75" customHeight="1">
      <c r="J165" s="9"/>
    </row>
    <row r="166" spans="10:10" ht="15.75" customHeight="1">
      <c r="J166" s="9"/>
    </row>
    <row r="167" spans="10:10" ht="15.75" customHeight="1">
      <c r="J167" s="9"/>
    </row>
    <row r="168" spans="10:10" ht="15.75" customHeight="1">
      <c r="J168" s="9"/>
    </row>
    <row r="169" spans="10:10" ht="15.75" customHeight="1">
      <c r="J169" s="9"/>
    </row>
    <row r="170" spans="10:10" ht="15.75" customHeight="1">
      <c r="J170" s="9"/>
    </row>
    <row r="171" spans="10:10" ht="15.75" customHeight="1">
      <c r="J171" s="9"/>
    </row>
    <row r="172" spans="10:10" ht="15.75" customHeight="1">
      <c r="J172" s="9"/>
    </row>
    <row r="173" spans="10:10" ht="15.75" customHeight="1">
      <c r="J173" s="9"/>
    </row>
    <row r="174" spans="10:10" ht="15.75" customHeight="1">
      <c r="J174" s="9"/>
    </row>
    <row r="175" spans="10:10" ht="15.75" customHeight="1">
      <c r="J175" s="9"/>
    </row>
    <row r="176" spans="10:10" ht="15.75" customHeight="1">
      <c r="J176" s="9"/>
    </row>
    <row r="177" spans="10:10" ht="15.75" customHeight="1">
      <c r="J177" s="9"/>
    </row>
    <row r="178" spans="10:10" ht="15.75" customHeight="1">
      <c r="J178" s="9"/>
    </row>
    <row r="179" spans="10:10" ht="15.75" customHeight="1">
      <c r="J179" s="9"/>
    </row>
    <row r="180" spans="10:10" ht="15.75" customHeight="1">
      <c r="J180" s="9"/>
    </row>
    <row r="181" spans="10:10" ht="15.75" customHeight="1">
      <c r="J181" s="9"/>
    </row>
    <row r="182" spans="10:10" ht="15.75" customHeight="1">
      <c r="J182" s="9"/>
    </row>
    <row r="183" spans="10:10" ht="15.75" customHeight="1">
      <c r="J183" s="9"/>
    </row>
    <row r="184" spans="10:10" ht="15.75" customHeight="1">
      <c r="J184" s="9"/>
    </row>
    <row r="185" spans="10:10" ht="15.75" customHeight="1">
      <c r="J185" s="9"/>
    </row>
    <row r="186" spans="10:10" ht="15.75" customHeight="1">
      <c r="J186" s="9"/>
    </row>
    <row r="187" spans="10:10" ht="15.75" customHeight="1">
      <c r="J187" s="9"/>
    </row>
    <row r="188" spans="10:10" ht="15.75" customHeight="1">
      <c r="J188" s="9"/>
    </row>
    <row r="189" spans="10:10" ht="15.75" customHeight="1">
      <c r="J189" s="9"/>
    </row>
    <row r="190" spans="10:10" ht="15.75" customHeight="1">
      <c r="J190" s="9"/>
    </row>
    <row r="191" spans="10:10" ht="15.75" customHeight="1">
      <c r="J191" s="9"/>
    </row>
    <row r="192" spans="10:10" ht="15.75" customHeight="1">
      <c r="J192" s="9"/>
    </row>
    <row r="193" spans="10:10" ht="15.75" customHeight="1">
      <c r="J193" s="9"/>
    </row>
    <row r="194" spans="10:10" ht="15.75" customHeight="1">
      <c r="J194" s="9"/>
    </row>
    <row r="195" spans="10:10" ht="15.75" customHeight="1">
      <c r="J195" s="9"/>
    </row>
    <row r="196" spans="10:10" ht="15.75" customHeight="1">
      <c r="J196" s="9"/>
    </row>
    <row r="197" spans="10:10" ht="15.75" customHeight="1">
      <c r="J197" s="9"/>
    </row>
    <row r="198" spans="10:10" ht="15.75" customHeight="1">
      <c r="J198" s="9"/>
    </row>
    <row r="199" spans="10:10" ht="15.75" customHeight="1">
      <c r="J199" s="9"/>
    </row>
    <row r="200" spans="10:10" ht="15.75" customHeight="1">
      <c r="J200" s="9"/>
    </row>
    <row r="201" spans="10:10" ht="15.75" customHeight="1">
      <c r="J201" s="9"/>
    </row>
    <row r="202" spans="10:10" ht="15.75" customHeight="1">
      <c r="J202" s="9"/>
    </row>
    <row r="203" spans="10:10" ht="15.75" customHeight="1">
      <c r="J203" s="9"/>
    </row>
    <row r="204" spans="10:10" ht="15.75" customHeight="1">
      <c r="J204" s="9"/>
    </row>
    <row r="205" spans="10:10" ht="15.75" customHeight="1">
      <c r="J205" s="9"/>
    </row>
    <row r="206" spans="10:10" ht="15.75" customHeight="1">
      <c r="J206" s="9"/>
    </row>
    <row r="207" spans="10:10" ht="15.75" customHeight="1">
      <c r="J207" s="9"/>
    </row>
    <row r="208" spans="10:10" ht="15.75" customHeight="1">
      <c r="J208" s="9"/>
    </row>
    <row r="209" spans="10:10" ht="15.75" customHeight="1">
      <c r="J209" s="9"/>
    </row>
    <row r="210" spans="10:10" ht="15.75" customHeight="1">
      <c r="J210" s="9"/>
    </row>
    <row r="211" spans="10:10" ht="15.75" customHeight="1">
      <c r="J211" s="9"/>
    </row>
    <row r="212" spans="10:10" ht="15.75" customHeight="1">
      <c r="J212" s="9"/>
    </row>
    <row r="213" spans="10:10" ht="15.75" customHeight="1">
      <c r="J213" s="9"/>
    </row>
    <row r="214" spans="10:10" ht="15.75" customHeight="1">
      <c r="J214" s="9"/>
    </row>
    <row r="215" spans="10:10" ht="15.75" customHeight="1">
      <c r="J215" s="9"/>
    </row>
    <row r="216" spans="10:10" ht="15.75" customHeight="1">
      <c r="J216" s="9"/>
    </row>
    <row r="217" spans="10:10" ht="15.75" customHeight="1">
      <c r="J217" s="9"/>
    </row>
    <row r="218" spans="10:10" ht="15.75" customHeight="1">
      <c r="J218" s="9"/>
    </row>
    <row r="219" spans="10:10" ht="15.75" customHeight="1">
      <c r="J219" s="9"/>
    </row>
    <row r="220" spans="10:10" ht="15.75" customHeight="1">
      <c r="J220" s="9"/>
    </row>
    <row r="221" spans="10:10" ht="15.75" customHeight="1">
      <c r="J221" s="9"/>
    </row>
    <row r="222" spans="10:10" ht="15.75" customHeight="1">
      <c r="J222" s="9"/>
    </row>
    <row r="223" spans="10:10" ht="15.75" customHeight="1">
      <c r="J223" s="9"/>
    </row>
    <row r="224" spans="10:10" ht="15.75" customHeight="1">
      <c r="J224" s="9"/>
    </row>
    <row r="225" spans="10:10" ht="15.75" customHeight="1">
      <c r="J225" s="9"/>
    </row>
    <row r="226" spans="10:10" ht="15.75" customHeight="1">
      <c r="J226" s="9"/>
    </row>
    <row r="227" spans="10:10" ht="15.75" customHeight="1">
      <c r="J227" s="9"/>
    </row>
    <row r="228" spans="10:10" ht="15.75" customHeight="1">
      <c r="J228" s="9"/>
    </row>
    <row r="229" spans="10:10" ht="15.75" customHeight="1">
      <c r="J229" s="9"/>
    </row>
    <row r="230" spans="10:10" ht="15.75" customHeight="1">
      <c r="J230" s="9"/>
    </row>
    <row r="231" spans="10:10" ht="15.75" customHeight="1">
      <c r="J231" s="9"/>
    </row>
    <row r="232" spans="10:10" ht="15.75" customHeight="1">
      <c r="J232" s="9"/>
    </row>
    <row r="233" spans="10:10" ht="15.75" customHeight="1">
      <c r="J233" s="9"/>
    </row>
    <row r="234" spans="10:10" ht="15.75" customHeight="1">
      <c r="J234" s="9"/>
    </row>
    <row r="235" spans="10:10" ht="15.75" customHeight="1">
      <c r="J235" s="9"/>
    </row>
    <row r="236" spans="10:10" ht="15.75" customHeight="1">
      <c r="J236" s="9"/>
    </row>
    <row r="237" spans="10:10" ht="15.75" customHeight="1">
      <c r="J237" s="9"/>
    </row>
    <row r="238" spans="10:10" ht="15.75" customHeight="1">
      <c r="J238" s="9"/>
    </row>
    <row r="239" spans="10:10" ht="15.75" customHeight="1">
      <c r="J239" s="9"/>
    </row>
    <row r="240" spans="10:10" ht="15.75" customHeight="1">
      <c r="J240" s="9"/>
    </row>
    <row r="241" spans="10:10" ht="15.75" customHeight="1">
      <c r="J241" s="9"/>
    </row>
    <row r="242" spans="10:10" ht="15.75" customHeight="1">
      <c r="J242" s="9"/>
    </row>
    <row r="243" spans="10:10" ht="15.75" customHeight="1">
      <c r="J243" s="9"/>
    </row>
    <row r="244" spans="10:10" ht="15.75" customHeight="1">
      <c r="J244" s="9"/>
    </row>
    <row r="245" spans="10:10" ht="15.75" customHeight="1">
      <c r="J245" s="9"/>
    </row>
    <row r="246" spans="10:10" ht="15.75" customHeight="1">
      <c r="J246" s="9"/>
    </row>
    <row r="247" spans="10:10" ht="15.75" customHeight="1">
      <c r="J247" s="9"/>
    </row>
    <row r="248" spans="10:10" ht="15.75" customHeight="1">
      <c r="J248" s="9"/>
    </row>
    <row r="249" spans="10:10" ht="15.75" customHeight="1">
      <c r="J249" s="9"/>
    </row>
    <row r="250" spans="10:10" ht="15.75" customHeight="1">
      <c r="J250" s="9"/>
    </row>
    <row r="251" spans="10:10" ht="15.75" customHeight="1">
      <c r="J251" s="9"/>
    </row>
    <row r="252" spans="10:10" ht="15.75" customHeight="1">
      <c r="J252" s="9"/>
    </row>
    <row r="253" spans="10:10" ht="15.75" customHeight="1">
      <c r="J253" s="9"/>
    </row>
    <row r="254" spans="10:10" ht="15.75" customHeight="1">
      <c r="J254" s="9"/>
    </row>
    <row r="255" spans="10:10" ht="15.75" customHeight="1">
      <c r="J255" s="9"/>
    </row>
    <row r="256" spans="10:10" ht="15.75" customHeight="1">
      <c r="J256" s="9"/>
    </row>
    <row r="257" spans="10:10" ht="15.75" customHeight="1">
      <c r="J257" s="9"/>
    </row>
    <row r="258" spans="10:10" ht="15.75" customHeight="1">
      <c r="J258" s="9"/>
    </row>
    <row r="259" spans="10:10" ht="15.75" customHeight="1">
      <c r="J259" s="9"/>
    </row>
    <row r="260" spans="10:10" ht="15.75" customHeight="1">
      <c r="J260" s="9"/>
    </row>
    <row r="261" spans="10:10" ht="15.75" customHeight="1">
      <c r="J261" s="9"/>
    </row>
    <row r="262" spans="10:10" ht="15.75" customHeight="1">
      <c r="J262" s="9"/>
    </row>
    <row r="263" spans="10:10" ht="15.75" customHeight="1">
      <c r="J263" s="9"/>
    </row>
    <row r="264" spans="10:10" ht="15.75" customHeight="1">
      <c r="J264" s="9"/>
    </row>
    <row r="265" spans="10:10" ht="15.75" customHeight="1">
      <c r="J265" s="9"/>
    </row>
    <row r="266" spans="10:10" ht="15.75" customHeight="1">
      <c r="J266" s="9"/>
    </row>
    <row r="267" spans="10:10" ht="15.75" customHeight="1">
      <c r="J267" s="9"/>
    </row>
    <row r="268" spans="10:10" ht="15.75" customHeight="1">
      <c r="J268" s="9"/>
    </row>
    <row r="269" spans="10:10" ht="15.75" customHeight="1">
      <c r="J269" s="9"/>
    </row>
    <row r="270" spans="10:10" ht="15.75" customHeight="1">
      <c r="J270" s="9"/>
    </row>
    <row r="271" spans="10:10" ht="15.75" customHeight="1">
      <c r="J271" s="9"/>
    </row>
    <row r="272" spans="10:10" ht="15.75" customHeight="1">
      <c r="J272" s="9"/>
    </row>
    <row r="273" spans="10:10" ht="15.75" customHeight="1">
      <c r="J273" s="9"/>
    </row>
    <row r="274" spans="10:10" ht="15.75" customHeight="1">
      <c r="J274" s="9"/>
    </row>
    <row r="275" spans="10:10" ht="15.75" customHeight="1">
      <c r="J275" s="9"/>
    </row>
    <row r="276" spans="10:10" ht="15.75" customHeight="1">
      <c r="J276" s="9"/>
    </row>
    <row r="277" spans="10:10" ht="15.75" customHeight="1">
      <c r="J277" s="9"/>
    </row>
    <row r="278" spans="10:10" ht="15.75" customHeight="1">
      <c r="J278" s="9"/>
    </row>
    <row r="279" spans="10:10" ht="15.75" customHeight="1">
      <c r="J279" s="9"/>
    </row>
    <row r="280" spans="10:10" ht="15.75" customHeight="1">
      <c r="J280" s="9"/>
    </row>
    <row r="281" spans="10:10" ht="15.75" customHeight="1">
      <c r="J281" s="9"/>
    </row>
    <row r="282" spans="10:10" ht="15.75" customHeight="1">
      <c r="J282" s="9"/>
    </row>
    <row r="283" spans="10:10" ht="15.75" customHeight="1">
      <c r="J283" s="9"/>
    </row>
    <row r="284" spans="10:10" ht="15.75" customHeight="1">
      <c r="J284" s="9"/>
    </row>
    <row r="285" spans="10:10" ht="15.75" customHeight="1">
      <c r="J285" s="9"/>
    </row>
    <row r="286" spans="10:10" ht="15.75" customHeight="1">
      <c r="J286" s="9"/>
    </row>
    <row r="287" spans="10:10" ht="15.75" customHeight="1">
      <c r="J287" s="9"/>
    </row>
    <row r="288" spans="10:10" ht="15.75" customHeight="1">
      <c r="J288" s="9"/>
    </row>
    <row r="289" spans="10:10" ht="15.75" customHeight="1">
      <c r="J289" s="9"/>
    </row>
    <row r="290" spans="10:10" ht="15.75" customHeight="1">
      <c r="J290" s="9"/>
    </row>
    <row r="291" spans="10:10" ht="15.75" customHeight="1">
      <c r="J291" s="9"/>
    </row>
    <row r="292" spans="10:10" ht="15.75" customHeight="1">
      <c r="J292" s="9"/>
    </row>
    <row r="293" spans="10:10" ht="15.75" customHeight="1">
      <c r="J293" s="9"/>
    </row>
    <row r="294" spans="10:10" ht="15.75" customHeight="1">
      <c r="J294" s="9"/>
    </row>
    <row r="295" spans="10:10" ht="15.75" customHeight="1">
      <c r="J295" s="9"/>
    </row>
    <row r="296" spans="10:10" ht="15.75" customHeight="1">
      <c r="J296" s="9"/>
    </row>
    <row r="297" spans="10:10" ht="15.75" customHeight="1">
      <c r="J297" s="9"/>
    </row>
    <row r="298" spans="10:10" ht="15.75" customHeight="1">
      <c r="J298" s="9"/>
    </row>
    <row r="299" spans="10:10" ht="15.75" customHeight="1">
      <c r="J299" s="9"/>
    </row>
    <row r="300" spans="10:10" ht="15.75" customHeight="1">
      <c r="J300" s="9"/>
    </row>
    <row r="301" spans="10:10" ht="15.75" customHeight="1">
      <c r="J301" s="9"/>
    </row>
    <row r="302" spans="10:10" ht="15.75" customHeight="1">
      <c r="J302" s="9"/>
    </row>
    <row r="303" spans="10:10" ht="15.75" customHeight="1">
      <c r="J303" s="9"/>
    </row>
    <row r="304" spans="10:10" ht="15.75" customHeight="1">
      <c r="J304" s="9"/>
    </row>
    <row r="305" spans="10:10" ht="15.75" customHeight="1">
      <c r="J305" s="9"/>
    </row>
    <row r="306" spans="10:10" ht="15.75" customHeight="1">
      <c r="J306" s="9"/>
    </row>
    <row r="307" spans="10:10" ht="15.75" customHeight="1">
      <c r="J307" s="9"/>
    </row>
    <row r="308" spans="10:10" ht="15.75" customHeight="1">
      <c r="J308" s="9"/>
    </row>
    <row r="309" spans="10:10" ht="15.75" customHeight="1">
      <c r="J309" s="9"/>
    </row>
    <row r="310" spans="10:10" ht="15.75" customHeight="1">
      <c r="J310" s="9"/>
    </row>
    <row r="311" spans="10:10" ht="15.75" customHeight="1">
      <c r="J311" s="9"/>
    </row>
    <row r="312" spans="10:10" ht="15.75" customHeight="1">
      <c r="J312" s="9"/>
    </row>
    <row r="313" spans="10:10" ht="15.75" customHeight="1">
      <c r="J313" s="9"/>
    </row>
    <row r="314" spans="10:10" ht="15.75" customHeight="1">
      <c r="J314" s="9"/>
    </row>
    <row r="315" spans="10:10" ht="15.75" customHeight="1">
      <c r="J315" s="9"/>
    </row>
    <row r="316" spans="10:10" ht="15.75" customHeight="1">
      <c r="J316" s="9"/>
    </row>
    <row r="317" spans="10:10" ht="15.75" customHeight="1">
      <c r="J317" s="9"/>
    </row>
    <row r="318" spans="10:10" ht="15.75" customHeight="1">
      <c r="J318" s="9"/>
    </row>
    <row r="319" spans="10:10" ht="15.75" customHeight="1">
      <c r="J319" s="9"/>
    </row>
    <row r="320" spans="10:10" ht="15.75" customHeight="1">
      <c r="J320" s="9"/>
    </row>
    <row r="321" spans="10:10" ht="15.75" customHeight="1">
      <c r="J321" s="9"/>
    </row>
    <row r="322" spans="10:10" ht="15.75" customHeight="1">
      <c r="J322" s="9"/>
    </row>
    <row r="323" spans="10:10" ht="15.75" customHeight="1">
      <c r="J323" s="9"/>
    </row>
    <row r="324" spans="10:10" ht="15.75" customHeight="1">
      <c r="J324" s="9"/>
    </row>
    <row r="325" spans="10:10" ht="15.75" customHeight="1">
      <c r="J325" s="9"/>
    </row>
    <row r="326" spans="10:10" ht="15.75" customHeight="1">
      <c r="J326" s="9"/>
    </row>
    <row r="327" spans="10:10" ht="15.75" customHeight="1">
      <c r="J327" s="9"/>
    </row>
    <row r="328" spans="10:10" ht="15.75" customHeight="1">
      <c r="J328" s="9"/>
    </row>
    <row r="329" spans="10:10" ht="15.75" customHeight="1">
      <c r="J329" s="9"/>
    </row>
    <row r="330" spans="10:10" ht="15.75" customHeight="1">
      <c r="J330" s="9"/>
    </row>
    <row r="331" spans="10:10" ht="15.75" customHeight="1">
      <c r="J331" s="9"/>
    </row>
    <row r="332" spans="10:10" ht="15.75" customHeight="1">
      <c r="J332" s="9"/>
    </row>
    <row r="333" spans="10:10" ht="15.75" customHeight="1">
      <c r="J333" s="9"/>
    </row>
    <row r="334" spans="10:10" ht="15.75" customHeight="1">
      <c r="J334" s="9"/>
    </row>
    <row r="335" spans="10:10" ht="15.75" customHeight="1">
      <c r="J335" s="9"/>
    </row>
    <row r="336" spans="10:10" ht="15.75" customHeight="1">
      <c r="J336" s="9"/>
    </row>
    <row r="337" spans="10:10" ht="15.75" customHeight="1">
      <c r="J337" s="9"/>
    </row>
    <row r="338" spans="10:10" ht="15.75" customHeight="1">
      <c r="J338" s="9"/>
    </row>
    <row r="339" spans="10:10" ht="15.75" customHeight="1">
      <c r="J339" s="9"/>
    </row>
    <row r="340" spans="10:10" ht="15.75" customHeight="1">
      <c r="J340" s="9"/>
    </row>
    <row r="341" spans="10:10" ht="15.75" customHeight="1">
      <c r="J341" s="9"/>
    </row>
    <row r="342" spans="10:10" ht="15.75" customHeight="1">
      <c r="J342" s="9"/>
    </row>
    <row r="343" spans="10:10" ht="15.75" customHeight="1">
      <c r="J343" s="9"/>
    </row>
    <row r="344" spans="10:10" ht="15.75" customHeight="1">
      <c r="J344" s="9"/>
    </row>
    <row r="345" spans="10:10" ht="15.75" customHeight="1">
      <c r="J345" s="9"/>
    </row>
    <row r="346" spans="10:10" ht="15.75" customHeight="1">
      <c r="J346" s="9"/>
    </row>
    <row r="347" spans="10:10" ht="15.75" customHeight="1">
      <c r="J347" s="9"/>
    </row>
    <row r="348" spans="10:10" ht="15.75" customHeight="1">
      <c r="J348" s="9"/>
    </row>
    <row r="349" spans="10:10" ht="15.75" customHeight="1">
      <c r="J349" s="9"/>
    </row>
    <row r="350" spans="10:10" ht="15.75" customHeight="1">
      <c r="J350" s="9"/>
    </row>
    <row r="351" spans="10:10" ht="15.75" customHeight="1">
      <c r="J351" s="9"/>
    </row>
    <row r="352" spans="10:10" ht="15.75" customHeight="1">
      <c r="J352" s="9"/>
    </row>
    <row r="353" spans="10:10" ht="15.75" customHeight="1">
      <c r="J353" s="9"/>
    </row>
    <row r="354" spans="10:10" ht="15.75" customHeight="1">
      <c r="J354" s="9"/>
    </row>
    <row r="355" spans="10:10" ht="15.75" customHeight="1">
      <c r="J355" s="9"/>
    </row>
    <row r="356" spans="10:10" ht="15.75" customHeight="1">
      <c r="J356" s="9"/>
    </row>
    <row r="357" spans="10:10" ht="15.75" customHeight="1">
      <c r="J357" s="9"/>
    </row>
    <row r="358" spans="10:10" ht="15.75" customHeight="1">
      <c r="J358" s="9"/>
    </row>
    <row r="359" spans="10:10" ht="15.75" customHeight="1">
      <c r="J359" s="9"/>
    </row>
    <row r="360" spans="10:10" ht="15.75" customHeight="1">
      <c r="J360" s="9"/>
    </row>
    <row r="361" spans="10:10" ht="15.75" customHeight="1">
      <c r="J361" s="9"/>
    </row>
    <row r="362" spans="10:10" ht="15.75" customHeight="1">
      <c r="J362" s="9"/>
    </row>
    <row r="363" spans="10:10" ht="15.75" customHeight="1">
      <c r="J363" s="9"/>
    </row>
    <row r="364" spans="10:10" ht="15.75" customHeight="1">
      <c r="J364" s="9"/>
    </row>
    <row r="365" spans="10:10" ht="15.75" customHeight="1">
      <c r="J365" s="9"/>
    </row>
    <row r="366" spans="10:10" ht="15.75" customHeight="1">
      <c r="J366" s="9"/>
    </row>
    <row r="367" spans="10:10" ht="15.75" customHeight="1">
      <c r="J367" s="9"/>
    </row>
    <row r="368" spans="10:10" ht="15.75" customHeight="1">
      <c r="J368" s="9"/>
    </row>
    <row r="369" spans="10:10" ht="15.75" customHeight="1">
      <c r="J369" s="9"/>
    </row>
    <row r="370" spans="10:10" ht="15.75" customHeight="1">
      <c r="J370" s="9"/>
    </row>
    <row r="371" spans="10:10" ht="15.75" customHeight="1">
      <c r="J371" s="9"/>
    </row>
    <row r="372" spans="10:10" ht="15.75" customHeight="1">
      <c r="J372" s="9"/>
    </row>
    <row r="373" spans="10:10" ht="15.75" customHeight="1">
      <c r="J373" s="9"/>
    </row>
    <row r="374" spans="10:10" ht="15.75" customHeight="1">
      <c r="J374" s="9"/>
    </row>
    <row r="375" spans="10:10" ht="15.75" customHeight="1">
      <c r="J375" s="9"/>
    </row>
    <row r="376" spans="10:10" ht="15.75" customHeight="1">
      <c r="J376" s="9"/>
    </row>
    <row r="377" spans="10:10" ht="15.75" customHeight="1">
      <c r="J377" s="9"/>
    </row>
    <row r="378" spans="10:10" ht="15.75" customHeight="1">
      <c r="J378" s="9"/>
    </row>
    <row r="379" spans="10:10" ht="15.75" customHeight="1">
      <c r="J379" s="9"/>
    </row>
    <row r="380" spans="10:10" ht="15.75" customHeight="1">
      <c r="J380" s="9"/>
    </row>
    <row r="381" spans="10:10" ht="15.75" customHeight="1">
      <c r="J381" s="9"/>
    </row>
    <row r="382" spans="10:10" ht="15.75" customHeight="1">
      <c r="J382" s="9"/>
    </row>
    <row r="383" spans="10:10" ht="15.75" customHeight="1">
      <c r="J383" s="9"/>
    </row>
    <row r="384" spans="10:10" ht="15.75" customHeight="1">
      <c r="J384" s="9"/>
    </row>
    <row r="385" spans="10:10" ht="15.75" customHeight="1">
      <c r="J385" s="9"/>
    </row>
    <row r="386" spans="10:10" ht="15.75" customHeight="1">
      <c r="J386" s="9"/>
    </row>
    <row r="387" spans="10:10" ht="15.75" customHeight="1">
      <c r="J387" s="9"/>
    </row>
    <row r="388" spans="10:10" ht="15.75" customHeight="1">
      <c r="J388" s="9"/>
    </row>
    <row r="389" spans="10:10" ht="15.75" customHeight="1">
      <c r="J389" s="9"/>
    </row>
    <row r="390" spans="10:10" ht="15.75" customHeight="1">
      <c r="J390" s="9"/>
    </row>
    <row r="391" spans="10:10" ht="15.75" customHeight="1">
      <c r="J391" s="9"/>
    </row>
    <row r="392" spans="10:10" ht="15.75" customHeight="1">
      <c r="J392" s="9"/>
    </row>
    <row r="393" spans="10:10" ht="15.75" customHeight="1">
      <c r="J393" s="9"/>
    </row>
    <row r="394" spans="10:10" ht="15.75" customHeight="1">
      <c r="J394" s="9"/>
    </row>
    <row r="395" spans="10:10" ht="15.75" customHeight="1">
      <c r="J395" s="9"/>
    </row>
    <row r="396" spans="10:10" ht="15.75" customHeight="1">
      <c r="J396" s="9"/>
    </row>
    <row r="397" spans="10:10" ht="15.75" customHeight="1">
      <c r="J397" s="9"/>
    </row>
    <row r="398" spans="10:10" ht="15.75" customHeight="1">
      <c r="J398" s="9"/>
    </row>
    <row r="399" spans="10:10" ht="15.75" customHeight="1">
      <c r="J399" s="9"/>
    </row>
    <row r="400" spans="10:10" ht="15.75" customHeight="1">
      <c r="J400" s="9"/>
    </row>
    <row r="401" spans="10:10" ht="15.75" customHeight="1">
      <c r="J401" s="9"/>
    </row>
    <row r="402" spans="10:10" ht="15.75" customHeight="1">
      <c r="J402" s="9"/>
    </row>
    <row r="403" spans="10:10" ht="15.75" customHeight="1">
      <c r="J403" s="9"/>
    </row>
    <row r="404" spans="10:10" ht="15.75" customHeight="1">
      <c r="J404" s="9"/>
    </row>
    <row r="405" spans="10:10" ht="15.75" customHeight="1">
      <c r="J405" s="9"/>
    </row>
    <row r="406" spans="10:10" ht="15.75" customHeight="1">
      <c r="J406" s="9"/>
    </row>
    <row r="407" spans="10:10" ht="15.75" customHeight="1">
      <c r="J407" s="9"/>
    </row>
    <row r="408" spans="10:10" ht="15.75" customHeight="1">
      <c r="J408" s="9"/>
    </row>
    <row r="409" spans="10:10" ht="15.75" customHeight="1">
      <c r="J409" s="9"/>
    </row>
    <row r="410" spans="10:10" ht="15.75" customHeight="1">
      <c r="J410" s="9"/>
    </row>
    <row r="411" spans="10:10" ht="15.75" customHeight="1">
      <c r="J411" s="9"/>
    </row>
    <row r="412" spans="10:10" ht="15.75" customHeight="1">
      <c r="J412" s="9"/>
    </row>
    <row r="413" spans="10:10" ht="15.75" customHeight="1">
      <c r="J413" s="9"/>
    </row>
    <row r="414" spans="10:10" ht="15.75" customHeight="1">
      <c r="J414" s="9"/>
    </row>
    <row r="415" spans="10:10" ht="15.75" customHeight="1">
      <c r="J415" s="9"/>
    </row>
    <row r="416" spans="10:10" ht="15.75" customHeight="1">
      <c r="J416" s="9"/>
    </row>
    <row r="417" spans="10:10" ht="15.75" customHeight="1">
      <c r="J417" s="9"/>
    </row>
    <row r="418" spans="10:10" ht="15.75" customHeight="1">
      <c r="J418" s="9"/>
    </row>
    <row r="419" spans="10:10" ht="15.75" customHeight="1">
      <c r="J419" s="9"/>
    </row>
    <row r="420" spans="10:10" ht="15.75" customHeight="1">
      <c r="J420" s="9"/>
    </row>
    <row r="421" spans="10:10" ht="15.75" customHeight="1">
      <c r="J421" s="9"/>
    </row>
    <row r="422" spans="10:10" ht="15.75" customHeight="1">
      <c r="J422" s="9"/>
    </row>
    <row r="423" spans="10:10" ht="15.75" customHeight="1">
      <c r="J423" s="9"/>
    </row>
    <row r="424" spans="10:10" ht="15.75" customHeight="1">
      <c r="J424" s="9"/>
    </row>
    <row r="425" spans="10:10" ht="15.75" customHeight="1">
      <c r="J425" s="9"/>
    </row>
    <row r="426" spans="10:10" ht="15.75" customHeight="1">
      <c r="J426" s="9"/>
    </row>
    <row r="427" spans="10:10" ht="15.75" customHeight="1">
      <c r="J427" s="9"/>
    </row>
    <row r="428" spans="10:10" ht="15.75" customHeight="1">
      <c r="J428" s="9"/>
    </row>
    <row r="429" spans="10:10" ht="15.75" customHeight="1">
      <c r="J429" s="9"/>
    </row>
    <row r="430" spans="10:10" ht="15.75" customHeight="1">
      <c r="J430" s="9"/>
    </row>
    <row r="431" spans="10:10" ht="15.75" customHeight="1">
      <c r="J431" s="9"/>
    </row>
    <row r="432" spans="10:10" ht="15.75" customHeight="1">
      <c r="J432" s="9"/>
    </row>
    <row r="433" spans="10:10" ht="15.75" customHeight="1">
      <c r="J433" s="9"/>
    </row>
    <row r="434" spans="10:10" ht="15.75" customHeight="1">
      <c r="J434" s="9"/>
    </row>
    <row r="435" spans="10:10" ht="15.75" customHeight="1">
      <c r="J435" s="9"/>
    </row>
    <row r="436" spans="10:10" ht="15.75" customHeight="1">
      <c r="J436" s="9"/>
    </row>
    <row r="437" spans="10:10" ht="15.75" customHeight="1">
      <c r="J437" s="9"/>
    </row>
    <row r="438" spans="10:10" ht="15.75" customHeight="1">
      <c r="J438" s="9"/>
    </row>
    <row r="439" spans="10:10" ht="15.75" customHeight="1">
      <c r="J439" s="9"/>
    </row>
    <row r="440" spans="10:10" ht="15.75" customHeight="1">
      <c r="J440" s="9"/>
    </row>
    <row r="441" spans="10:10" ht="15.75" customHeight="1">
      <c r="J441" s="9"/>
    </row>
    <row r="442" spans="10:10" ht="15.75" customHeight="1">
      <c r="J442" s="9"/>
    </row>
    <row r="443" spans="10:10" ht="15.75" customHeight="1">
      <c r="J443" s="9"/>
    </row>
    <row r="444" spans="10:10" ht="15.75" customHeight="1">
      <c r="J444" s="9"/>
    </row>
    <row r="445" spans="10:10" ht="15.75" customHeight="1">
      <c r="J445" s="9"/>
    </row>
    <row r="446" spans="10:10" ht="15.75" customHeight="1">
      <c r="J446" s="9"/>
    </row>
    <row r="447" spans="10:10" ht="15.75" customHeight="1">
      <c r="J447" s="9"/>
    </row>
    <row r="448" spans="10:10" ht="15.75" customHeight="1">
      <c r="J448" s="9"/>
    </row>
    <row r="449" spans="10:10" ht="15.75" customHeight="1">
      <c r="J449" s="9"/>
    </row>
    <row r="450" spans="10:10" ht="15.75" customHeight="1">
      <c r="J450" s="9"/>
    </row>
    <row r="451" spans="10:10" ht="15.75" customHeight="1">
      <c r="J451" s="9"/>
    </row>
    <row r="452" spans="10:10" ht="15.75" customHeight="1">
      <c r="J452" s="9"/>
    </row>
    <row r="453" spans="10:10" ht="15.75" customHeight="1">
      <c r="J453" s="9"/>
    </row>
    <row r="454" spans="10:10" ht="15.75" customHeight="1">
      <c r="J454" s="9"/>
    </row>
    <row r="455" spans="10:10" ht="15.75" customHeight="1">
      <c r="J455" s="9"/>
    </row>
    <row r="456" spans="10:10" ht="15.75" customHeight="1">
      <c r="J456" s="9"/>
    </row>
    <row r="457" spans="10:10" ht="15.75" customHeight="1">
      <c r="J457" s="9"/>
    </row>
    <row r="458" spans="10:10" ht="15.75" customHeight="1">
      <c r="J458" s="9"/>
    </row>
    <row r="459" spans="10:10" ht="15.75" customHeight="1">
      <c r="J459" s="9"/>
    </row>
    <row r="460" spans="10:10" ht="15.75" customHeight="1">
      <c r="J460" s="9"/>
    </row>
    <row r="461" spans="10:10" ht="15.75" customHeight="1">
      <c r="J461" s="9"/>
    </row>
    <row r="462" spans="10:10" ht="15.75" customHeight="1">
      <c r="J462" s="9"/>
    </row>
    <row r="463" spans="10:10" ht="15.75" customHeight="1">
      <c r="J463" s="9"/>
    </row>
    <row r="464" spans="10:10" ht="15.75" customHeight="1">
      <c r="J464" s="9"/>
    </row>
    <row r="465" spans="10:10" ht="15.75" customHeight="1">
      <c r="J465" s="9"/>
    </row>
    <row r="466" spans="10:10" ht="15.75" customHeight="1">
      <c r="J466" s="9"/>
    </row>
    <row r="467" spans="10:10" ht="15.75" customHeight="1">
      <c r="J467" s="9"/>
    </row>
    <row r="468" spans="10:10" ht="15.75" customHeight="1">
      <c r="J468" s="9"/>
    </row>
    <row r="469" spans="10:10" ht="15.75" customHeight="1">
      <c r="J469" s="9"/>
    </row>
    <row r="470" spans="10:10" ht="15.75" customHeight="1">
      <c r="J470" s="9"/>
    </row>
    <row r="471" spans="10:10" ht="15.75" customHeight="1">
      <c r="J471" s="9"/>
    </row>
    <row r="472" spans="10:10" ht="15.75" customHeight="1">
      <c r="J472" s="9"/>
    </row>
    <row r="473" spans="10:10" ht="15.75" customHeight="1">
      <c r="J473" s="9"/>
    </row>
    <row r="474" spans="10:10" ht="15.75" customHeight="1">
      <c r="J474" s="9"/>
    </row>
    <row r="475" spans="10:10" ht="15.75" customHeight="1">
      <c r="J475" s="9"/>
    </row>
    <row r="476" spans="10:10" ht="15.75" customHeight="1">
      <c r="J476" s="9"/>
    </row>
    <row r="477" spans="10:10" ht="15.75" customHeight="1">
      <c r="J477" s="9"/>
    </row>
    <row r="478" spans="10:10" ht="15.75" customHeight="1">
      <c r="J478" s="9"/>
    </row>
    <row r="479" spans="10:10" ht="15.75" customHeight="1">
      <c r="J479" s="9"/>
    </row>
    <row r="480" spans="10:10" ht="15.75" customHeight="1">
      <c r="J480" s="9"/>
    </row>
    <row r="481" spans="10:10" ht="15.75" customHeight="1">
      <c r="J481" s="9"/>
    </row>
    <row r="482" spans="10:10" ht="15.75" customHeight="1">
      <c r="J482" s="9"/>
    </row>
    <row r="483" spans="10:10" ht="15.75" customHeight="1">
      <c r="J483" s="9"/>
    </row>
    <row r="484" spans="10:10" ht="15.75" customHeight="1">
      <c r="J484" s="9"/>
    </row>
    <row r="485" spans="10:10" ht="15.75" customHeight="1">
      <c r="J485" s="9"/>
    </row>
    <row r="486" spans="10:10" ht="15.75" customHeight="1">
      <c r="J486" s="9"/>
    </row>
    <row r="487" spans="10:10" ht="15.75" customHeight="1">
      <c r="J487" s="9"/>
    </row>
    <row r="488" spans="10:10" ht="15.75" customHeight="1">
      <c r="J488" s="9"/>
    </row>
    <row r="489" spans="10:10" ht="15.75" customHeight="1">
      <c r="J489" s="9"/>
    </row>
    <row r="490" spans="10:10" ht="15.75" customHeight="1">
      <c r="J490" s="9"/>
    </row>
    <row r="491" spans="10:10" ht="15.75" customHeight="1">
      <c r="J491" s="9"/>
    </row>
    <row r="492" spans="10:10" ht="15.75" customHeight="1">
      <c r="J492" s="9"/>
    </row>
    <row r="493" spans="10:10" ht="15.75" customHeight="1">
      <c r="J493" s="9"/>
    </row>
    <row r="494" spans="10:10" ht="15.75" customHeight="1">
      <c r="J494" s="9"/>
    </row>
    <row r="495" spans="10:10" ht="15.75" customHeight="1">
      <c r="J495" s="9"/>
    </row>
    <row r="496" spans="10:10" ht="15.75" customHeight="1">
      <c r="J496" s="9"/>
    </row>
    <row r="497" spans="10:10" ht="15.75" customHeight="1">
      <c r="J497" s="9"/>
    </row>
    <row r="498" spans="10:10" ht="15.75" customHeight="1">
      <c r="J498" s="9"/>
    </row>
    <row r="499" spans="10:10" ht="15.75" customHeight="1">
      <c r="J499" s="9"/>
    </row>
    <row r="500" spans="10:10" ht="15.75" customHeight="1">
      <c r="J500" s="9"/>
    </row>
    <row r="501" spans="10:10" ht="15.75" customHeight="1">
      <c r="J501" s="9"/>
    </row>
    <row r="502" spans="10:10" ht="15.75" customHeight="1">
      <c r="J502" s="9"/>
    </row>
    <row r="503" spans="10:10" ht="15.75" customHeight="1">
      <c r="J503" s="9"/>
    </row>
    <row r="504" spans="10:10" ht="15.75" customHeight="1">
      <c r="J504" s="9"/>
    </row>
    <row r="505" spans="10:10" ht="15.75" customHeight="1">
      <c r="J505" s="9"/>
    </row>
    <row r="506" spans="10:10" ht="15.75" customHeight="1">
      <c r="J506" s="9"/>
    </row>
    <row r="507" spans="10:10" ht="15.75" customHeight="1">
      <c r="J507" s="9"/>
    </row>
    <row r="508" spans="10:10" ht="15.75" customHeight="1">
      <c r="J508" s="9"/>
    </row>
    <row r="509" spans="10:10" ht="15.75" customHeight="1">
      <c r="J509" s="9"/>
    </row>
    <row r="510" spans="10:10" ht="15.75" customHeight="1">
      <c r="J510" s="9"/>
    </row>
    <row r="511" spans="10:10" ht="15.75" customHeight="1">
      <c r="J511" s="9"/>
    </row>
    <row r="512" spans="10:10" ht="15.75" customHeight="1">
      <c r="J512" s="9"/>
    </row>
    <row r="513" spans="10:10" ht="15.75" customHeight="1">
      <c r="J513" s="9"/>
    </row>
    <row r="514" spans="10:10" ht="15.75" customHeight="1">
      <c r="J514" s="9"/>
    </row>
    <row r="515" spans="10:10" ht="15.75" customHeight="1">
      <c r="J515" s="9"/>
    </row>
    <row r="516" spans="10:10" ht="15.75" customHeight="1">
      <c r="J516" s="9"/>
    </row>
    <row r="517" spans="10:10" ht="15.75" customHeight="1">
      <c r="J517" s="9"/>
    </row>
    <row r="518" spans="10:10" ht="15.75" customHeight="1">
      <c r="J518" s="9"/>
    </row>
    <row r="519" spans="10:10" ht="15.75" customHeight="1">
      <c r="J519" s="9"/>
    </row>
    <row r="520" spans="10:10" ht="15.75" customHeight="1">
      <c r="J520" s="9"/>
    </row>
    <row r="521" spans="10:10" ht="15.75" customHeight="1">
      <c r="J521" s="9"/>
    </row>
    <row r="522" spans="10:10" ht="15.75" customHeight="1">
      <c r="J522" s="9"/>
    </row>
    <row r="523" spans="10:10" ht="15.75" customHeight="1">
      <c r="J523" s="9"/>
    </row>
    <row r="524" spans="10:10" ht="15.75" customHeight="1">
      <c r="J524" s="9"/>
    </row>
    <row r="525" spans="10:10" ht="15.75" customHeight="1">
      <c r="J525" s="9"/>
    </row>
    <row r="526" spans="10:10" ht="15.75" customHeight="1">
      <c r="J526" s="9"/>
    </row>
    <row r="527" spans="10:10" ht="15.75" customHeight="1">
      <c r="J527" s="9"/>
    </row>
    <row r="528" spans="10:10" ht="15.75" customHeight="1">
      <c r="J528" s="9"/>
    </row>
    <row r="529" spans="10:10" ht="15.75" customHeight="1">
      <c r="J529" s="9"/>
    </row>
    <row r="530" spans="10:10" ht="15.75" customHeight="1">
      <c r="J530" s="9"/>
    </row>
    <row r="531" spans="10:10" ht="15.75" customHeight="1">
      <c r="J531" s="9"/>
    </row>
    <row r="532" spans="10:10" ht="15.75" customHeight="1">
      <c r="J532" s="9"/>
    </row>
    <row r="533" spans="10:10" ht="15.75" customHeight="1">
      <c r="J533" s="9"/>
    </row>
    <row r="534" spans="10:10" ht="15.75" customHeight="1">
      <c r="J534" s="9"/>
    </row>
    <row r="535" spans="10:10" ht="15.75" customHeight="1">
      <c r="J535" s="9"/>
    </row>
    <row r="536" spans="10:10" ht="15.75" customHeight="1">
      <c r="J536" s="9"/>
    </row>
    <row r="537" spans="10:10" ht="15.75" customHeight="1">
      <c r="J537" s="9"/>
    </row>
    <row r="538" spans="10:10" ht="15.75" customHeight="1">
      <c r="J538" s="9"/>
    </row>
    <row r="539" spans="10:10" ht="15.75" customHeight="1">
      <c r="J539" s="9"/>
    </row>
    <row r="540" spans="10:10" ht="15.75" customHeight="1">
      <c r="J540" s="9"/>
    </row>
    <row r="541" spans="10:10" ht="15.75" customHeight="1">
      <c r="J541" s="9"/>
    </row>
    <row r="542" spans="10:10" ht="15.75" customHeight="1">
      <c r="J542" s="9"/>
    </row>
    <row r="543" spans="10:10" ht="15.75" customHeight="1">
      <c r="J543" s="9"/>
    </row>
    <row r="544" spans="10:10" ht="15.75" customHeight="1">
      <c r="J544" s="9"/>
    </row>
    <row r="545" spans="10:10" ht="15.75" customHeight="1">
      <c r="J545" s="9"/>
    </row>
    <row r="546" spans="10:10" ht="15.75" customHeight="1">
      <c r="J546" s="9"/>
    </row>
    <row r="547" spans="10:10" ht="15.75" customHeight="1">
      <c r="J547" s="9"/>
    </row>
    <row r="548" spans="10:10" ht="15.75" customHeight="1">
      <c r="J548" s="9"/>
    </row>
    <row r="549" spans="10:10" ht="15.75" customHeight="1">
      <c r="J549" s="9"/>
    </row>
    <row r="550" spans="10:10" ht="15.75" customHeight="1">
      <c r="J550" s="9"/>
    </row>
    <row r="551" spans="10:10" ht="15.75" customHeight="1">
      <c r="J551" s="9"/>
    </row>
    <row r="552" spans="10:10" ht="15.75" customHeight="1">
      <c r="J552" s="9"/>
    </row>
    <row r="553" spans="10:10" ht="15.75" customHeight="1">
      <c r="J553" s="9"/>
    </row>
    <row r="554" spans="10:10" ht="15.75" customHeight="1">
      <c r="J554" s="9"/>
    </row>
    <row r="555" spans="10:10" ht="15.75" customHeight="1">
      <c r="J555" s="9"/>
    </row>
    <row r="556" spans="10:10" ht="15.75" customHeight="1">
      <c r="J556" s="9"/>
    </row>
    <row r="557" spans="10:10" ht="15.75" customHeight="1">
      <c r="J557" s="9"/>
    </row>
    <row r="558" spans="10:10" ht="15.75" customHeight="1">
      <c r="J558" s="9"/>
    </row>
    <row r="559" spans="10:10" ht="15.75" customHeight="1">
      <c r="J559" s="9"/>
    </row>
    <row r="560" spans="10:10" ht="15.75" customHeight="1">
      <c r="J560" s="9"/>
    </row>
    <row r="561" spans="10:10" ht="15.75" customHeight="1">
      <c r="J561" s="9"/>
    </row>
    <row r="562" spans="10:10" ht="15.75" customHeight="1">
      <c r="J562" s="9"/>
    </row>
    <row r="563" spans="10:10" ht="15.75" customHeight="1">
      <c r="J563" s="9"/>
    </row>
    <row r="564" spans="10:10" ht="15.75" customHeight="1">
      <c r="J564" s="9"/>
    </row>
    <row r="565" spans="10:10" ht="15.75" customHeight="1">
      <c r="J565" s="9"/>
    </row>
    <row r="566" spans="10:10" ht="15.75" customHeight="1">
      <c r="J566" s="9"/>
    </row>
    <row r="567" spans="10:10" ht="15.75" customHeight="1">
      <c r="J567" s="9"/>
    </row>
    <row r="568" spans="10:10" ht="15.75" customHeight="1">
      <c r="J568" s="9"/>
    </row>
    <row r="569" spans="10:10" ht="15.75" customHeight="1">
      <c r="J569" s="9"/>
    </row>
    <row r="570" spans="10:10" ht="15.75" customHeight="1">
      <c r="J570" s="9"/>
    </row>
    <row r="571" spans="10:10" ht="15.75" customHeight="1">
      <c r="J571" s="9"/>
    </row>
    <row r="572" spans="10:10" ht="15.75" customHeight="1">
      <c r="J572" s="9"/>
    </row>
    <row r="573" spans="10:10" ht="15.75" customHeight="1">
      <c r="J573" s="9"/>
    </row>
    <row r="574" spans="10:10" ht="15.75" customHeight="1">
      <c r="J574" s="9"/>
    </row>
    <row r="575" spans="10:10" ht="15.75" customHeight="1">
      <c r="J575" s="9"/>
    </row>
    <row r="576" spans="10:10" ht="15.75" customHeight="1">
      <c r="J576" s="9"/>
    </row>
    <row r="577" spans="10:10" ht="15.75" customHeight="1">
      <c r="J577" s="9"/>
    </row>
    <row r="578" spans="10:10" ht="15.75" customHeight="1">
      <c r="J578" s="9"/>
    </row>
    <row r="579" spans="10:10" ht="15.75" customHeight="1">
      <c r="J579" s="9"/>
    </row>
    <row r="580" spans="10:10" ht="15.75" customHeight="1">
      <c r="J580" s="9"/>
    </row>
    <row r="581" spans="10:10" ht="15.75" customHeight="1">
      <c r="J581" s="9"/>
    </row>
    <row r="582" spans="10:10" ht="15.75" customHeight="1">
      <c r="J582" s="9"/>
    </row>
    <row r="583" spans="10:10" ht="15.75" customHeight="1">
      <c r="J583" s="9"/>
    </row>
    <row r="584" spans="10:10" ht="15.75" customHeight="1">
      <c r="J584" s="9"/>
    </row>
    <row r="585" spans="10:10" ht="15.75" customHeight="1">
      <c r="J585" s="9"/>
    </row>
    <row r="586" spans="10:10" ht="15.75" customHeight="1">
      <c r="J586" s="9"/>
    </row>
    <row r="587" spans="10:10" ht="15.75" customHeight="1">
      <c r="J587" s="9"/>
    </row>
    <row r="588" spans="10:10" ht="15.75" customHeight="1">
      <c r="J588" s="9"/>
    </row>
    <row r="589" spans="10:10" ht="15.75" customHeight="1">
      <c r="J589" s="9"/>
    </row>
    <row r="590" spans="10:10" ht="15.75" customHeight="1">
      <c r="J590" s="9"/>
    </row>
    <row r="591" spans="10:10" ht="15.75" customHeight="1">
      <c r="J591" s="9"/>
    </row>
    <row r="592" spans="10:10" ht="15.75" customHeight="1">
      <c r="J592" s="9"/>
    </row>
    <row r="593" spans="10:10" ht="15.75" customHeight="1">
      <c r="J593" s="9"/>
    </row>
    <row r="594" spans="10:10" ht="15.75" customHeight="1">
      <c r="J594" s="9"/>
    </row>
    <row r="595" spans="10:10" ht="15.75" customHeight="1">
      <c r="J595" s="9"/>
    </row>
    <row r="596" spans="10:10" ht="15.75" customHeight="1">
      <c r="J596" s="9"/>
    </row>
    <row r="597" spans="10:10" ht="15.75" customHeight="1">
      <c r="J597" s="9"/>
    </row>
    <row r="598" spans="10:10" ht="15.75" customHeight="1">
      <c r="J598" s="9"/>
    </row>
    <row r="599" spans="10:10" ht="15.75" customHeight="1">
      <c r="J599" s="9"/>
    </row>
    <row r="600" spans="10:10" ht="15.75" customHeight="1">
      <c r="J600" s="9"/>
    </row>
    <row r="601" spans="10:10" ht="15.75" customHeight="1">
      <c r="J601" s="9"/>
    </row>
    <row r="602" spans="10:10" ht="15.75" customHeight="1">
      <c r="J602" s="9"/>
    </row>
    <row r="603" spans="10:10" ht="15.75" customHeight="1">
      <c r="J603" s="9"/>
    </row>
    <row r="604" spans="10:10" ht="15.75" customHeight="1">
      <c r="J604" s="9"/>
    </row>
    <row r="605" spans="10:10" ht="15.75" customHeight="1">
      <c r="J605" s="9"/>
    </row>
    <row r="606" spans="10:10" ht="15.75" customHeight="1">
      <c r="J606" s="9"/>
    </row>
    <row r="607" spans="10:10" ht="15.75" customHeight="1">
      <c r="J607" s="9"/>
    </row>
    <row r="608" spans="10:10" ht="15.75" customHeight="1">
      <c r="J608" s="9"/>
    </row>
    <row r="609" spans="10:10" ht="15.75" customHeight="1">
      <c r="J609" s="9"/>
    </row>
    <row r="610" spans="10:10" ht="15.75" customHeight="1">
      <c r="J610" s="9"/>
    </row>
    <row r="611" spans="10:10" ht="15.75" customHeight="1">
      <c r="J611" s="9"/>
    </row>
    <row r="612" spans="10:10" ht="15.75" customHeight="1">
      <c r="J612" s="9"/>
    </row>
    <row r="613" spans="10:10" ht="15.75" customHeight="1">
      <c r="J613" s="9"/>
    </row>
    <row r="614" spans="10:10" ht="15.75" customHeight="1">
      <c r="J614" s="9"/>
    </row>
    <row r="615" spans="10:10" ht="15.75" customHeight="1">
      <c r="J615" s="9"/>
    </row>
    <row r="616" spans="10:10" ht="15.75" customHeight="1">
      <c r="J616" s="9"/>
    </row>
    <row r="617" spans="10:10" ht="15.75" customHeight="1">
      <c r="J617" s="9"/>
    </row>
    <row r="618" spans="10:10" ht="15.75" customHeight="1">
      <c r="J618" s="9"/>
    </row>
    <row r="619" spans="10:10" ht="15.75" customHeight="1">
      <c r="J619" s="9"/>
    </row>
    <row r="620" spans="10:10" ht="15.75" customHeight="1">
      <c r="J620" s="9"/>
    </row>
    <row r="621" spans="10:10" ht="15.75" customHeight="1">
      <c r="J621" s="9"/>
    </row>
    <row r="622" spans="10:10" ht="15.75" customHeight="1">
      <c r="J622" s="9"/>
    </row>
    <row r="623" spans="10:10" ht="15.75" customHeight="1">
      <c r="J623" s="9"/>
    </row>
    <row r="624" spans="10:10" ht="15.75" customHeight="1">
      <c r="J624" s="9"/>
    </row>
    <row r="625" spans="10:10" ht="15.75" customHeight="1">
      <c r="J625" s="9"/>
    </row>
    <row r="626" spans="10:10" ht="15.75" customHeight="1">
      <c r="J626" s="9"/>
    </row>
    <row r="627" spans="10:10" ht="15.75" customHeight="1">
      <c r="J627" s="9"/>
    </row>
    <row r="628" spans="10:10" ht="15.75" customHeight="1">
      <c r="J628" s="9"/>
    </row>
    <row r="629" spans="10:10" ht="15.75" customHeight="1">
      <c r="J629" s="9"/>
    </row>
    <row r="630" spans="10:10" ht="15.75" customHeight="1">
      <c r="J630" s="9"/>
    </row>
    <row r="631" spans="10:10" ht="15.75" customHeight="1">
      <c r="J631" s="9"/>
    </row>
    <row r="632" spans="10:10" ht="15.75" customHeight="1">
      <c r="J632" s="9"/>
    </row>
    <row r="633" spans="10:10" ht="15.75" customHeight="1">
      <c r="J633" s="9"/>
    </row>
    <row r="634" spans="10:10" ht="15.75" customHeight="1">
      <c r="J634" s="9"/>
    </row>
    <row r="635" spans="10:10" ht="15.75" customHeight="1">
      <c r="J635" s="9"/>
    </row>
    <row r="636" spans="10:10" ht="15.75" customHeight="1">
      <c r="J636" s="9"/>
    </row>
    <row r="637" spans="10:10" ht="15.75" customHeight="1">
      <c r="J637" s="9"/>
    </row>
    <row r="638" spans="10:10" ht="15.75" customHeight="1">
      <c r="J638" s="9"/>
    </row>
    <row r="639" spans="10:10" ht="15.75" customHeight="1">
      <c r="J639" s="9"/>
    </row>
    <row r="640" spans="10:10" ht="15.75" customHeight="1">
      <c r="J640" s="9"/>
    </row>
    <row r="641" spans="10:10" ht="15.75" customHeight="1">
      <c r="J641" s="9"/>
    </row>
    <row r="642" spans="10:10" ht="15.75" customHeight="1">
      <c r="J642" s="9"/>
    </row>
    <row r="643" spans="10:10" ht="15.75" customHeight="1">
      <c r="J643" s="9"/>
    </row>
    <row r="644" spans="10:10" ht="15.75" customHeight="1">
      <c r="J644" s="9"/>
    </row>
    <row r="645" spans="10:10" ht="15.75" customHeight="1">
      <c r="J645" s="9"/>
    </row>
    <row r="646" spans="10:10" ht="15.75" customHeight="1">
      <c r="J646" s="9"/>
    </row>
    <row r="647" spans="10:10" ht="15.75" customHeight="1">
      <c r="J647" s="9"/>
    </row>
    <row r="648" spans="10:10" ht="15.75" customHeight="1">
      <c r="J648" s="9"/>
    </row>
    <row r="649" spans="10:10" ht="15.75" customHeight="1">
      <c r="J649" s="9"/>
    </row>
    <row r="650" spans="10:10" ht="15.75" customHeight="1">
      <c r="J650" s="9"/>
    </row>
    <row r="651" spans="10:10" ht="15.75" customHeight="1">
      <c r="J651" s="9"/>
    </row>
    <row r="652" spans="10:10" ht="15.75" customHeight="1">
      <c r="J652" s="9"/>
    </row>
    <row r="653" spans="10:10" ht="15.75" customHeight="1">
      <c r="J653" s="9"/>
    </row>
    <row r="654" spans="10:10" ht="15.75" customHeight="1">
      <c r="J654" s="9"/>
    </row>
    <row r="655" spans="10:10" ht="15.75" customHeight="1">
      <c r="J655" s="9"/>
    </row>
    <row r="656" spans="10:10" ht="15.75" customHeight="1">
      <c r="J656" s="9"/>
    </row>
    <row r="657" spans="10:10" ht="15.75" customHeight="1">
      <c r="J657" s="9"/>
    </row>
    <row r="658" spans="10:10" ht="15.75" customHeight="1">
      <c r="J658" s="9"/>
    </row>
    <row r="659" spans="10:10" ht="15.75" customHeight="1">
      <c r="J659" s="9"/>
    </row>
    <row r="660" spans="10:10" ht="15.75" customHeight="1">
      <c r="J660" s="9"/>
    </row>
    <row r="661" spans="10:10" ht="15.75" customHeight="1">
      <c r="J661" s="9"/>
    </row>
    <row r="662" spans="10:10" ht="15.75" customHeight="1">
      <c r="J662" s="9"/>
    </row>
    <row r="663" spans="10:10" ht="15.75" customHeight="1">
      <c r="J663" s="9"/>
    </row>
    <row r="664" spans="10:10" ht="15.75" customHeight="1">
      <c r="J664" s="9"/>
    </row>
    <row r="665" spans="10:10" ht="15.75" customHeight="1">
      <c r="J665" s="9"/>
    </row>
    <row r="666" spans="10:10" ht="15.75" customHeight="1">
      <c r="J666" s="9"/>
    </row>
    <row r="667" spans="10:10" ht="15.75" customHeight="1">
      <c r="J667" s="9"/>
    </row>
    <row r="668" spans="10:10" ht="15.75" customHeight="1">
      <c r="J668" s="9"/>
    </row>
    <row r="669" spans="10:10" ht="15.75" customHeight="1">
      <c r="J669" s="9"/>
    </row>
    <row r="670" spans="10:10" ht="15.75" customHeight="1">
      <c r="J670" s="9"/>
    </row>
    <row r="671" spans="10:10" ht="15.75" customHeight="1">
      <c r="J671" s="9"/>
    </row>
    <row r="672" spans="10:10" ht="15.75" customHeight="1">
      <c r="J672" s="9"/>
    </row>
    <row r="673" spans="10:10" ht="15.75" customHeight="1">
      <c r="J673" s="9"/>
    </row>
    <row r="674" spans="10:10" ht="15.75" customHeight="1">
      <c r="J674" s="9"/>
    </row>
    <row r="675" spans="10:10" ht="15.75" customHeight="1">
      <c r="J675" s="9"/>
    </row>
    <row r="676" spans="10:10" ht="15.75" customHeight="1">
      <c r="J676" s="9"/>
    </row>
    <row r="677" spans="10:10" ht="15.75" customHeight="1">
      <c r="J677" s="9"/>
    </row>
    <row r="678" spans="10:10" ht="15.75" customHeight="1">
      <c r="J678" s="9"/>
    </row>
    <row r="679" spans="10:10" ht="15.75" customHeight="1">
      <c r="J679" s="9"/>
    </row>
    <row r="680" spans="10:10" ht="15.75" customHeight="1">
      <c r="J680" s="9"/>
    </row>
    <row r="681" spans="10:10" ht="15.75" customHeight="1">
      <c r="J681" s="9"/>
    </row>
    <row r="682" spans="10:10" ht="15.75" customHeight="1">
      <c r="J682" s="9"/>
    </row>
    <row r="683" spans="10:10" ht="15.75" customHeight="1">
      <c r="J683" s="9"/>
    </row>
    <row r="684" spans="10:10" ht="15.75" customHeight="1">
      <c r="J684" s="9"/>
    </row>
    <row r="685" spans="10:10" ht="15.75" customHeight="1">
      <c r="J685" s="9"/>
    </row>
    <row r="686" spans="10:10" ht="15.75" customHeight="1">
      <c r="J686" s="9"/>
    </row>
    <row r="687" spans="10:10" ht="15.75" customHeight="1">
      <c r="J687" s="9"/>
    </row>
    <row r="688" spans="10:10" ht="15.75" customHeight="1">
      <c r="J688" s="9"/>
    </row>
    <row r="689" spans="10:10" ht="15.75" customHeight="1">
      <c r="J689" s="9"/>
    </row>
    <row r="690" spans="10:10" ht="15.75" customHeight="1">
      <c r="J690" s="9"/>
    </row>
    <row r="691" spans="10:10" ht="15.75" customHeight="1">
      <c r="J691" s="9"/>
    </row>
    <row r="692" spans="10:10" ht="15.75" customHeight="1">
      <c r="J692" s="9"/>
    </row>
    <row r="693" spans="10:10" ht="15.75" customHeight="1">
      <c r="J693" s="9"/>
    </row>
    <row r="694" spans="10:10" ht="15.75" customHeight="1">
      <c r="J694" s="9"/>
    </row>
    <row r="695" spans="10:10" ht="15.75" customHeight="1">
      <c r="J695" s="9"/>
    </row>
    <row r="696" spans="10:10" ht="15.75" customHeight="1">
      <c r="J696" s="9"/>
    </row>
    <row r="697" spans="10:10" ht="15.75" customHeight="1">
      <c r="J697" s="9"/>
    </row>
    <row r="698" spans="10:10" ht="15.75" customHeight="1">
      <c r="J698" s="9"/>
    </row>
    <row r="699" spans="10:10" ht="15.75" customHeight="1">
      <c r="J699" s="9"/>
    </row>
    <row r="700" spans="10:10" ht="15.75" customHeight="1">
      <c r="J700" s="9"/>
    </row>
    <row r="701" spans="10:10" ht="15.75" customHeight="1">
      <c r="J701" s="9"/>
    </row>
    <row r="702" spans="10:10" ht="15.75" customHeight="1">
      <c r="J702" s="9"/>
    </row>
    <row r="703" spans="10:10" ht="15.75" customHeight="1">
      <c r="J703" s="9"/>
    </row>
    <row r="704" spans="10:10" ht="15.75" customHeight="1">
      <c r="J704" s="9"/>
    </row>
    <row r="705" spans="10:10" ht="15.75" customHeight="1">
      <c r="J705" s="9"/>
    </row>
    <row r="706" spans="10:10" ht="15.75" customHeight="1">
      <c r="J706" s="9"/>
    </row>
    <row r="707" spans="10:10" ht="15.75" customHeight="1">
      <c r="J707" s="9"/>
    </row>
    <row r="708" spans="10:10" ht="15.75" customHeight="1">
      <c r="J708" s="9"/>
    </row>
    <row r="709" spans="10:10" ht="15.75" customHeight="1">
      <c r="J709" s="9"/>
    </row>
    <row r="710" spans="10:10" ht="15.75" customHeight="1">
      <c r="J710" s="9"/>
    </row>
    <row r="711" spans="10:10" ht="15.75" customHeight="1">
      <c r="J711" s="9"/>
    </row>
    <row r="712" spans="10:10" ht="15.75" customHeight="1">
      <c r="J712" s="9"/>
    </row>
    <row r="713" spans="10:10" ht="15.75" customHeight="1">
      <c r="J713" s="9"/>
    </row>
    <row r="714" spans="10:10" ht="15.75" customHeight="1">
      <c r="J714" s="9"/>
    </row>
    <row r="715" spans="10:10" ht="15.75" customHeight="1">
      <c r="J715" s="9"/>
    </row>
    <row r="716" spans="10:10" ht="15.75" customHeight="1">
      <c r="J716" s="9"/>
    </row>
    <row r="717" spans="10:10" ht="15.75" customHeight="1">
      <c r="J717" s="9"/>
    </row>
    <row r="718" spans="10:10" ht="15.75" customHeight="1">
      <c r="J718" s="9"/>
    </row>
    <row r="719" spans="10:10" ht="15.75" customHeight="1">
      <c r="J719" s="9"/>
    </row>
    <row r="720" spans="10:10" ht="15.75" customHeight="1">
      <c r="J720" s="9"/>
    </row>
    <row r="721" spans="10:10" ht="15.75" customHeight="1">
      <c r="J721" s="9"/>
    </row>
    <row r="722" spans="10:10" ht="15.75" customHeight="1">
      <c r="J722" s="9"/>
    </row>
    <row r="723" spans="10:10" ht="15.75" customHeight="1">
      <c r="J723" s="9"/>
    </row>
    <row r="724" spans="10:10" ht="15.75" customHeight="1">
      <c r="J724" s="9"/>
    </row>
    <row r="725" spans="10:10" ht="15.75" customHeight="1">
      <c r="J725" s="9"/>
    </row>
    <row r="726" spans="10:10" ht="15.75" customHeight="1">
      <c r="J726" s="9"/>
    </row>
    <row r="727" spans="10:10" ht="15.75" customHeight="1">
      <c r="J727" s="9"/>
    </row>
    <row r="728" spans="10:10" ht="15.75" customHeight="1">
      <c r="J728" s="9"/>
    </row>
    <row r="729" spans="10:10" ht="15.75" customHeight="1">
      <c r="J729" s="9"/>
    </row>
    <row r="730" spans="10:10" ht="15.75" customHeight="1">
      <c r="J730" s="9"/>
    </row>
    <row r="731" spans="10:10" ht="15.75" customHeight="1">
      <c r="J731" s="9"/>
    </row>
    <row r="732" spans="10:10" ht="15.75" customHeight="1">
      <c r="J732" s="9"/>
    </row>
    <row r="733" spans="10:10" ht="15.75" customHeight="1">
      <c r="J733" s="9"/>
    </row>
    <row r="734" spans="10:10" ht="15.75" customHeight="1">
      <c r="J734" s="9"/>
    </row>
    <row r="735" spans="10:10" ht="15.75" customHeight="1">
      <c r="J735" s="9"/>
    </row>
    <row r="736" spans="10:10" ht="15.75" customHeight="1">
      <c r="J736" s="9"/>
    </row>
    <row r="737" spans="10:10" ht="15.75" customHeight="1">
      <c r="J737" s="9"/>
    </row>
    <row r="738" spans="10:10" ht="15.75" customHeight="1">
      <c r="J738" s="9"/>
    </row>
    <row r="739" spans="10:10" ht="15.75" customHeight="1">
      <c r="J739" s="9"/>
    </row>
    <row r="740" spans="10:10" ht="15.75" customHeight="1">
      <c r="J740" s="9"/>
    </row>
    <row r="741" spans="10:10" ht="15.75" customHeight="1">
      <c r="J741" s="9"/>
    </row>
    <row r="742" spans="10:10" ht="15.75" customHeight="1">
      <c r="J742" s="9"/>
    </row>
    <row r="743" spans="10:10" ht="15.75" customHeight="1">
      <c r="J743" s="9"/>
    </row>
    <row r="744" spans="10:10" ht="15.75" customHeight="1">
      <c r="J744" s="9"/>
    </row>
    <row r="745" spans="10:10" ht="15.75" customHeight="1">
      <c r="J745" s="9"/>
    </row>
    <row r="746" spans="10:10" ht="15.75" customHeight="1">
      <c r="J746" s="9"/>
    </row>
    <row r="747" spans="10:10" ht="15.75" customHeight="1">
      <c r="J747" s="9"/>
    </row>
    <row r="748" spans="10:10" ht="15.75" customHeight="1">
      <c r="J748" s="9"/>
    </row>
    <row r="749" spans="10:10" ht="15.75" customHeight="1">
      <c r="J749" s="9"/>
    </row>
    <row r="750" spans="10:10" ht="15.75" customHeight="1">
      <c r="J750" s="9"/>
    </row>
    <row r="751" spans="10:10" ht="15.75" customHeight="1">
      <c r="J751" s="9"/>
    </row>
    <row r="752" spans="10:10" ht="15.75" customHeight="1">
      <c r="J752" s="9"/>
    </row>
    <row r="753" spans="10:10" ht="15.75" customHeight="1">
      <c r="J753" s="9"/>
    </row>
    <row r="754" spans="10:10" ht="15.75" customHeight="1">
      <c r="J754" s="9"/>
    </row>
    <row r="755" spans="10:10" ht="15.75" customHeight="1">
      <c r="J755" s="9"/>
    </row>
    <row r="756" spans="10:10" ht="15.75" customHeight="1">
      <c r="J756" s="9"/>
    </row>
    <row r="757" spans="10:10" ht="15.75" customHeight="1">
      <c r="J757" s="9"/>
    </row>
    <row r="758" spans="10:10" ht="15.75" customHeight="1">
      <c r="J758" s="9"/>
    </row>
    <row r="759" spans="10:10" ht="15.75" customHeight="1">
      <c r="J759" s="9"/>
    </row>
    <row r="760" spans="10:10" ht="15.75" customHeight="1">
      <c r="J760" s="9"/>
    </row>
    <row r="761" spans="10:10" ht="15.75" customHeight="1">
      <c r="J761" s="9"/>
    </row>
    <row r="762" spans="10:10" ht="15.75" customHeight="1">
      <c r="J762" s="9"/>
    </row>
    <row r="763" spans="10:10" ht="15.75" customHeight="1">
      <c r="J763" s="9"/>
    </row>
    <row r="764" spans="10:10" ht="15.75" customHeight="1">
      <c r="J764" s="9"/>
    </row>
    <row r="765" spans="10:10" ht="15.75" customHeight="1">
      <c r="J765" s="9"/>
    </row>
    <row r="766" spans="10:10" ht="15.75" customHeight="1">
      <c r="J766" s="9"/>
    </row>
    <row r="767" spans="10:10" ht="15.75" customHeight="1">
      <c r="J767" s="9"/>
    </row>
    <row r="768" spans="10:10" ht="15.75" customHeight="1">
      <c r="J768" s="9"/>
    </row>
    <row r="769" spans="10:10" ht="15.75" customHeight="1">
      <c r="J769" s="9"/>
    </row>
    <row r="770" spans="10:10" ht="15.75" customHeight="1">
      <c r="J770" s="9"/>
    </row>
    <row r="771" spans="10:10" ht="15.75" customHeight="1">
      <c r="J771" s="9"/>
    </row>
    <row r="772" spans="10:10" ht="15.75" customHeight="1">
      <c r="J772" s="9"/>
    </row>
    <row r="773" spans="10:10" ht="15.75" customHeight="1">
      <c r="J773" s="9"/>
    </row>
    <row r="774" spans="10:10" ht="15.75" customHeight="1">
      <c r="J774" s="9"/>
    </row>
    <row r="775" spans="10:10" ht="15.75" customHeight="1">
      <c r="J775" s="9"/>
    </row>
    <row r="776" spans="10:10" ht="15.75" customHeight="1">
      <c r="J776" s="9"/>
    </row>
    <row r="777" spans="10:10" ht="15.75" customHeight="1">
      <c r="J777" s="9"/>
    </row>
    <row r="778" spans="10:10" ht="15.75" customHeight="1">
      <c r="J778" s="9"/>
    </row>
    <row r="779" spans="10:10" ht="15.75" customHeight="1">
      <c r="J779" s="9"/>
    </row>
    <row r="780" spans="10:10" ht="15.75" customHeight="1">
      <c r="J780" s="9"/>
    </row>
    <row r="781" spans="10:10" ht="15.75" customHeight="1">
      <c r="J781" s="9"/>
    </row>
    <row r="782" spans="10:10" ht="15.75" customHeight="1">
      <c r="J782" s="9"/>
    </row>
    <row r="783" spans="10:10" ht="15.75" customHeight="1">
      <c r="J783" s="9"/>
    </row>
    <row r="784" spans="10:10" ht="15.75" customHeight="1">
      <c r="J784" s="9"/>
    </row>
    <row r="785" spans="10:10" ht="15.75" customHeight="1">
      <c r="J785" s="9"/>
    </row>
    <row r="786" spans="10:10" ht="15.75" customHeight="1">
      <c r="J786" s="9"/>
    </row>
    <row r="787" spans="10:10" ht="15.75" customHeight="1">
      <c r="J787" s="9"/>
    </row>
    <row r="788" spans="10:10" ht="15.75" customHeight="1">
      <c r="J788" s="9"/>
    </row>
    <row r="789" spans="10:10" ht="15.75" customHeight="1">
      <c r="J789" s="9"/>
    </row>
    <row r="790" spans="10:10" ht="15.75" customHeight="1">
      <c r="J790" s="9"/>
    </row>
    <row r="791" spans="10:10" ht="15.75" customHeight="1">
      <c r="J791" s="9"/>
    </row>
    <row r="792" spans="10:10" ht="15.75" customHeight="1">
      <c r="J792" s="9"/>
    </row>
    <row r="793" spans="10:10" ht="15.75" customHeight="1">
      <c r="J793" s="9"/>
    </row>
    <row r="794" spans="10:10" ht="15.75" customHeight="1">
      <c r="J794" s="9"/>
    </row>
    <row r="795" spans="10:10" ht="15.75" customHeight="1">
      <c r="J795" s="9"/>
    </row>
    <row r="796" spans="10:10" ht="15.75" customHeight="1">
      <c r="J796" s="9"/>
    </row>
    <row r="797" spans="10:10" ht="15.75" customHeight="1">
      <c r="J797" s="9"/>
    </row>
    <row r="798" spans="10:10" ht="15.75" customHeight="1">
      <c r="J798" s="9"/>
    </row>
    <row r="799" spans="10:10" ht="15.75" customHeight="1">
      <c r="J799" s="9"/>
    </row>
    <row r="800" spans="10:10" ht="15.75" customHeight="1">
      <c r="J800" s="9"/>
    </row>
    <row r="801" spans="10:10" ht="15.75" customHeight="1">
      <c r="J801" s="9"/>
    </row>
    <row r="802" spans="10:10" ht="15.75" customHeight="1">
      <c r="J802" s="9"/>
    </row>
    <row r="803" spans="10:10" ht="15.75" customHeight="1">
      <c r="J803" s="9"/>
    </row>
    <row r="804" spans="10:10" ht="15.75" customHeight="1">
      <c r="J804" s="9"/>
    </row>
    <row r="805" spans="10:10" ht="15.75" customHeight="1">
      <c r="J805" s="9"/>
    </row>
    <row r="806" spans="10:10" ht="15.75" customHeight="1">
      <c r="J806" s="9"/>
    </row>
    <row r="807" spans="10:10" ht="15.75" customHeight="1">
      <c r="J807" s="9"/>
    </row>
    <row r="808" spans="10:10" ht="15.75" customHeight="1">
      <c r="J808" s="9"/>
    </row>
    <row r="809" spans="10:10" ht="15.75" customHeight="1">
      <c r="J809" s="9"/>
    </row>
    <row r="810" spans="10:10" ht="15.75" customHeight="1">
      <c r="J810" s="9"/>
    </row>
    <row r="811" spans="10:10" ht="15.75" customHeight="1">
      <c r="J811" s="9"/>
    </row>
    <row r="812" spans="10:10" ht="15.75" customHeight="1">
      <c r="J812" s="9"/>
    </row>
    <row r="813" spans="10:10" ht="15.75" customHeight="1">
      <c r="J813" s="9"/>
    </row>
    <row r="814" spans="10:10" ht="15.75" customHeight="1">
      <c r="J814" s="9"/>
    </row>
    <row r="815" spans="10:10" ht="15.75" customHeight="1">
      <c r="J815" s="9"/>
    </row>
    <row r="816" spans="10:10" ht="15.75" customHeight="1">
      <c r="J816" s="9"/>
    </row>
    <row r="817" spans="10:10" ht="15.75" customHeight="1">
      <c r="J817" s="9"/>
    </row>
    <row r="818" spans="10:10" ht="15.75" customHeight="1">
      <c r="J818" s="9"/>
    </row>
    <row r="819" spans="10:10" ht="15.75" customHeight="1">
      <c r="J819" s="9"/>
    </row>
    <row r="820" spans="10:10" ht="15.75" customHeight="1">
      <c r="J820" s="9"/>
    </row>
    <row r="821" spans="10:10" ht="15.75" customHeight="1">
      <c r="J821" s="9"/>
    </row>
    <row r="822" spans="10:10" ht="15.75" customHeight="1">
      <c r="J822" s="9"/>
    </row>
    <row r="823" spans="10:10" ht="15.75" customHeight="1">
      <c r="J823" s="9"/>
    </row>
    <row r="824" spans="10:10" ht="15.75" customHeight="1">
      <c r="J824" s="9"/>
    </row>
    <row r="825" spans="10:10" ht="15.75" customHeight="1">
      <c r="J825" s="9"/>
    </row>
    <row r="826" spans="10:10" ht="15.75" customHeight="1">
      <c r="J826" s="9"/>
    </row>
    <row r="827" spans="10:10" ht="15.75" customHeight="1">
      <c r="J827" s="9"/>
    </row>
    <row r="828" spans="10:10" ht="15.75" customHeight="1">
      <c r="J828" s="9"/>
    </row>
    <row r="829" spans="10:10" ht="15.75" customHeight="1">
      <c r="J829" s="9"/>
    </row>
    <row r="830" spans="10:10" ht="15.75" customHeight="1">
      <c r="J830" s="9"/>
    </row>
    <row r="831" spans="10:10" ht="15.75" customHeight="1">
      <c r="J831" s="9"/>
    </row>
    <row r="832" spans="10:10" ht="15.75" customHeight="1">
      <c r="J832" s="9"/>
    </row>
    <row r="833" spans="10:10" ht="15.75" customHeight="1">
      <c r="J833" s="9"/>
    </row>
    <row r="834" spans="10:10" ht="15.75" customHeight="1">
      <c r="J834" s="9"/>
    </row>
    <row r="835" spans="10:10" ht="15.75" customHeight="1">
      <c r="J835" s="9"/>
    </row>
    <row r="836" spans="10:10" ht="15.75" customHeight="1">
      <c r="J836" s="9"/>
    </row>
    <row r="837" spans="10:10" ht="15.75" customHeight="1">
      <c r="J837" s="9"/>
    </row>
    <row r="838" spans="10:10" ht="15.75" customHeight="1">
      <c r="J838" s="9"/>
    </row>
    <row r="839" spans="10:10" ht="15.75" customHeight="1">
      <c r="J839" s="9"/>
    </row>
    <row r="840" spans="10:10" ht="15.75" customHeight="1">
      <c r="J840" s="9"/>
    </row>
    <row r="841" spans="10:10" ht="15.75" customHeight="1">
      <c r="J841" s="9"/>
    </row>
    <row r="842" spans="10:10" ht="15.75" customHeight="1">
      <c r="J842" s="9"/>
    </row>
    <row r="843" spans="10:10" ht="15.75" customHeight="1">
      <c r="J843" s="9"/>
    </row>
    <row r="844" spans="10:10" ht="15.75" customHeight="1">
      <c r="J844" s="9"/>
    </row>
    <row r="845" spans="10:10" ht="15.75" customHeight="1">
      <c r="J845" s="9"/>
    </row>
    <row r="846" spans="10:10" ht="15.75" customHeight="1">
      <c r="J846" s="9"/>
    </row>
    <row r="847" spans="10:10" ht="15.75" customHeight="1">
      <c r="J847" s="9"/>
    </row>
    <row r="848" spans="10:10" ht="15.75" customHeight="1">
      <c r="J848" s="9"/>
    </row>
    <row r="849" spans="10:10" ht="15.75" customHeight="1">
      <c r="J849" s="9"/>
    </row>
    <row r="850" spans="10:10" ht="15.75" customHeight="1">
      <c r="J850" s="9"/>
    </row>
    <row r="851" spans="10:10" ht="15.75" customHeight="1">
      <c r="J851" s="9"/>
    </row>
    <row r="852" spans="10:10" ht="15.75" customHeight="1">
      <c r="J852" s="9"/>
    </row>
    <row r="853" spans="10:10" ht="15.75" customHeight="1">
      <c r="J853" s="9"/>
    </row>
    <row r="854" spans="10:10" ht="15.75" customHeight="1">
      <c r="J854" s="9"/>
    </row>
    <row r="855" spans="10:10" ht="15.75" customHeight="1">
      <c r="J855" s="9"/>
    </row>
    <row r="856" spans="10:10" ht="15.75" customHeight="1">
      <c r="J856" s="9"/>
    </row>
    <row r="857" spans="10:10" ht="15.75" customHeight="1">
      <c r="J857" s="9"/>
    </row>
    <row r="858" spans="10:10" ht="15.75" customHeight="1">
      <c r="J858" s="9"/>
    </row>
    <row r="859" spans="10:10" ht="15.75" customHeight="1">
      <c r="J859" s="9"/>
    </row>
    <row r="860" spans="10:10" ht="15.75" customHeight="1">
      <c r="J860" s="9"/>
    </row>
    <row r="861" spans="10:10" ht="15.75" customHeight="1">
      <c r="J861" s="9"/>
    </row>
    <row r="862" spans="10:10" ht="15.75" customHeight="1">
      <c r="J862" s="9"/>
    </row>
    <row r="863" spans="10:10" ht="15.75" customHeight="1">
      <c r="J863" s="9"/>
    </row>
    <row r="864" spans="10:10" ht="15.75" customHeight="1">
      <c r="J864" s="9"/>
    </row>
    <row r="865" spans="10:10" ht="15.75" customHeight="1">
      <c r="J865" s="9"/>
    </row>
    <row r="866" spans="10:10" ht="15.75" customHeight="1">
      <c r="J866" s="9"/>
    </row>
    <row r="867" spans="10:10" ht="15.75" customHeight="1">
      <c r="J867" s="9"/>
    </row>
    <row r="868" spans="10:10" ht="15.75" customHeight="1">
      <c r="J868" s="9"/>
    </row>
    <row r="869" spans="10:10" ht="15.75" customHeight="1">
      <c r="J869" s="9"/>
    </row>
    <row r="870" spans="10:10" ht="15.75" customHeight="1">
      <c r="J870" s="9"/>
    </row>
    <row r="871" spans="10:10" ht="15.75" customHeight="1">
      <c r="J871" s="9"/>
    </row>
    <row r="872" spans="10:10" ht="15.75" customHeight="1">
      <c r="J872" s="9"/>
    </row>
    <row r="873" spans="10:10" ht="15.75" customHeight="1">
      <c r="J873" s="9"/>
    </row>
    <row r="874" spans="10:10" ht="15.75" customHeight="1">
      <c r="J874" s="9"/>
    </row>
    <row r="875" spans="10:10" ht="15.75" customHeight="1">
      <c r="J875" s="9"/>
    </row>
    <row r="876" spans="10:10" ht="15.75" customHeight="1">
      <c r="J876" s="9"/>
    </row>
    <row r="877" spans="10:10" ht="15.75" customHeight="1">
      <c r="J877" s="9"/>
    </row>
    <row r="878" spans="10:10" ht="15.75" customHeight="1">
      <c r="J878" s="9"/>
    </row>
    <row r="879" spans="10:10" ht="15.75" customHeight="1">
      <c r="J879" s="9"/>
    </row>
    <row r="880" spans="10:10" ht="15.75" customHeight="1">
      <c r="J880" s="9"/>
    </row>
    <row r="881" spans="10:10" ht="15.75" customHeight="1">
      <c r="J881" s="9"/>
    </row>
    <row r="882" spans="10:10" ht="15.75" customHeight="1">
      <c r="J882" s="9"/>
    </row>
    <row r="883" spans="10:10" ht="15.75" customHeight="1">
      <c r="J883" s="9"/>
    </row>
    <row r="884" spans="10:10" ht="15.75" customHeight="1">
      <c r="J884" s="9"/>
    </row>
    <row r="885" spans="10:10" ht="15.75" customHeight="1">
      <c r="J885" s="9"/>
    </row>
    <row r="886" spans="10:10" ht="15.75" customHeight="1">
      <c r="J886" s="9"/>
    </row>
    <row r="887" spans="10:10" ht="15.75" customHeight="1">
      <c r="J887" s="9"/>
    </row>
    <row r="888" spans="10:10" ht="15.75" customHeight="1">
      <c r="J888" s="9"/>
    </row>
    <row r="889" spans="10:10" ht="15.75" customHeight="1">
      <c r="J889" s="9"/>
    </row>
    <row r="890" spans="10:10" ht="15.75" customHeight="1">
      <c r="J890" s="9"/>
    </row>
    <row r="891" spans="10:10" ht="15.75" customHeight="1">
      <c r="J891" s="9"/>
    </row>
    <row r="892" spans="10:10" ht="15.75" customHeight="1">
      <c r="J892" s="9"/>
    </row>
    <row r="893" spans="10:10" ht="15.75" customHeight="1">
      <c r="J893" s="9"/>
    </row>
    <row r="894" spans="10:10" ht="15.75" customHeight="1">
      <c r="J894" s="9"/>
    </row>
    <row r="895" spans="10:10" ht="15.75" customHeight="1">
      <c r="J895" s="9"/>
    </row>
    <row r="896" spans="10:10" ht="15.75" customHeight="1">
      <c r="J896" s="9"/>
    </row>
    <row r="897" spans="10:10" ht="15.75" customHeight="1">
      <c r="J897" s="9"/>
    </row>
    <row r="898" spans="10:10" ht="15.75" customHeight="1">
      <c r="J898" s="9"/>
    </row>
    <row r="899" spans="10:10" ht="15.75" customHeight="1">
      <c r="J899" s="9"/>
    </row>
    <row r="900" spans="10:10" ht="15.75" customHeight="1">
      <c r="J900" s="9"/>
    </row>
    <row r="901" spans="10:10" ht="15.75" customHeight="1">
      <c r="J901" s="9"/>
    </row>
    <row r="902" spans="10:10" ht="15.75" customHeight="1">
      <c r="J902" s="9"/>
    </row>
    <row r="903" spans="10:10" ht="15.75" customHeight="1">
      <c r="J903" s="9"/>
    </row>
    <row r="904" spans="10:10" ht="15.75" customHeight="1">
      <c r="J904" s="9"/>
    </row>
    <row r="905" spans="10:10" ht="15.75" customHeight="1">
      <c r="J905" s="9"/>
    </row>
    <row r="906" spans="10:10" ht="15.75" customHeight="1">
      <c r="J906" s="9"/>
    </row>
    <row r="907" spans="10:10" ht="15.75" customHeight="1">
      <c r="J907" s="9"/>
    </row>
    <row r="908" spans="10:10" ht="15.75" customHeight="1">
      <c r="J908" s="9"/>
    </row>
    <row r="909" spans="10:10" ht="15.75" customHeight="1">
      <c r="J909" s="9"/>
    </row>
    <row r="910" spans="10:10" ht="15.75" customHeight="1">
      <c r="J910" s="9"/>
    </row>
    <row r="911" spans="10:10" ht="15.75" customHeight="1">
      <c r="J911" s="9"/>
    </row>
    <row r="912" spans="10:10" ht="15.75" customHeight="1">
      <c r="J912" s="9"/>
    </row>
    <row r="913" spans="10:10" ht="15.75" customHeight="1">
      <c r="J913" s="9"/>
    </row>
    <row r="914" spans="10:10" ht="15.75" customHeight="1">
      <c r="J914" s="9"/>
    </row>
    <row r="915" spans="10:10" ht="15.75" customHeight="1">
      <c r="J915" s="9"/>
    </row>
    <row r="916" spans="10:10" ht="15.75" customHeight="1">
      <c r="J916" s="9"/>
    </row>
    <row r="917" spans="10:10" ht="15.75" customHeight="1">
      <c r="J917" s="9"/>
    </row>
    <row r="918" spans="10:10" ht="15.75" customHeight="1">
      <c r="J918" s="9"/>
    </row>
    <row r="919" spans="10:10" ht="15.75" customHeight="1">
      <c r="J919" s="9"/>
    </row>
    <row r="920" spans="10:10" ht="15.75" customHeight="1">
      <c r="J920" s="9"/>
    </row>
    <row r="921" spans="10:10" ht="15.75" customHeight="1">
      <c r="J921" s="9"/>
    </row>
    <row r="922" spans="10:10" ht="15.75" customHeight="1">
      <c r="J922" s="9"/>
    </row>
    <row r="923" spans="10:10" ht="15.75" customHeight="1">
      <c r="J923" s="9"/>
    </row>
    <row r="924" spans="10:10" ht="15.75" customHeight="1">
      <c r="J924" s="9"/>
    </row>
    <row r="925" spans="10:10" ht="15.75" customHeight="1">
      <c r="J925" s="9"/>
    </row>
    <row r="926" spans="10:10" ht="15.75" customHeight="1">
      <c r="J926" s="9"/>
    </row>
    <row r="927" spans="10:10" ht="15.75" customHeight="1">
      <c r="J927" s="9"/>
    </row>
    <row r="928" spans="10:10" ht="15.75" customHeight="1">
      <c r="J928" s="9"/>
    </row>
    <row r="929" spans="10:10" ht="15.75" customHeight="1">
      <c r="J929" s="9"/>
    </row>
    <row r="930" spans="10:10" ht="15.75" customHeight="1">
      <c r="J930" s="9"/>
    </row>
    <row r="931" spans="10:10" ht="15.75" customHeight="1">
      <c r="J931" s="9"/>
    </row>
    <row r="932" spans="10:10" ht="15.75" customHeight="1">
      <c r="J932" s="9"/>
    </row>
    <row r="933" spans="10:10" ht="15.75" customHeight="1">
      <c r="J933" s="9"/>
    </row>
    <row r="934" spans="10:10" ht="15.75" customHeight="1">
      <c r="J934" s="9"/>
    </row>
    <row r="935" spans="10:10" ht="15.75" customHeight="1">
      <c r="J935" s="9"/>
    </row>
    <row r="936" spans="10:10" ht="15.75" customHeight="1">
      <c r="J936" s="9"/>
    </row>
    <row r="937" spans="10:10" ht="15.75" customHeight="1">
      <c r="J937" s="9"/>
    </row>
    <row r="938" spans="10:10" ht="15.75" customHeight="1">
      <c r="J938" s="9"/>
    </row>
    <row r="939" spans="10:10" ht="15.75" customHeight="1">
      <c r="J939" s="9"/>
    </row>
    <row r="940" spans="10:10" ht="15.75" customHeight="1">
      <c r="J940" s="9"/>
    </row>
    <row r="941" spans="10:10" ht="15.75" customHeight="1">
      <c r="J941" s="9"/>
    </row>
    <row r="942" spans="10:10" ht="15.75" customHeight="1">
      <c r="J942" s="9"/>
    </row>
    <row r="943" spans="10:10" ht="15.75" customHeight="1">
      <c r="J943" s="9"/>
    </row>
    <row r="944" spans="10:10" ht="15.75" customHeight="1">
      <c r="J944" s="9"/>
    </row>
    <row r="945" spans="10:10" ht="15.75" customHeight="1">
      <c r="J945" s="9"/>
    </row>
    <row r="946" spans="10:10" ht="15.75" customHeight="1">
      <c r="J946" s="9"/>
    </row>
    <row r="947" spans="10:10" ht="15.75" customHeight="1">
      <c r="J947" s="9"/>
    </row>
    <row r="948" spans="10:10" ht="15.75" customHeight="1">
      <c r="J948" s="9"/>
    </row>
    <row r="949" spans="10:10" ht="15.75" customHeight="1">
      <c r="J949" s="9"/>
    </row>
    <row r="950" spans="10:10" ht="15.75" customHeight="1">
      <c r="J950" s="9"/>
    </row>
    <row r="951" spans="10:10" ht="15.75" customHeight="1">
      <c r="J951" s="9"/>
    </row>
    <row r="952" spans="10:10" ht="15.75" customHeight="1">
      <c r="J952" s="9"/>
    </row>
    <row r="953" spans="10:10" ht="15.75" customHeight="1">
      <c r="J953" s="9"/>
    </row>
    <row r="954" spans="10:10" ht="15.75" customHeight="1">
      <c r="J954" s="9"/>
    </row>
    <row r="955" spans="10:10" ht="15.75" customHeight="1">
      <c r="J955" s="9"/>
    </row>
    <row r="956" spans="10:10" ht="15.75" customHeight="1">
      <c r="J956" s="9"/>
    </row>
    <row r="957" spans="10:10" ht="15.75" customHeight="1">
      <c r="J957" s="9"/>
    </row>
    <row r="958" spans="10:10" ht="15.75" customHeight="1">
      <c r="J958" s="9"/>
    </row>
    <row r="959" spans="10:10" ht="15.75" customHeight="1">
      <c r="J959" s="9"/>
    </row>
    <row r="960" spans="10:10" ht="15.75" customHeight="1">
      <c r="J960" s="9"/>
    </row>
    <row r="961" spans="10:10" ht="15.75" customHeight="1">
      <c r="J961" s="9"/>
    </row>
    <row r="962" spans="10:10" ht="15.75" customHeight="1">
      <c r="J962" s="9"/>
    </row>
    <row r="963" spans="10:10" ht="15.75" customHeight="1">
      <c r="J963" s="9"/>
    </row>
    <row r="964" spans="10:10" ht="15.75" customHeight="1">
      <c r="J964" s="9"/>
    </row>
    <row r="965" spans="10:10" ht="15.75" customHeight="1">
      <c r="J965" s="9"/>
    </row>
    <row r="966" spans="10:10" ht="15.75" customHeight="1">
      <c r="J966" s="9"/>
    </row>
    <row r="967" spans="10:10" ht="15.75" customHeight="1">
      <c r="J967" s="9"/>
    </row>
    <row r="968" spans="10:10" ht="15.75" customHeight="1">
      <c r="J968" s="9"/>
    </row>
    <row r="969" spans="10:10" ht="15.75" customHeight="1">
      <c r="J969" s="9"/>
    </row>
    <row r="970" spans="10:10" ht="15.75" customHeight="1">
      <c r="J970" s="9"/>
    </row>
    <row r="971" spans="10:10" ht="15.75" customHeight="1">
      <c r="J971" s="9"/>
    </row>
    <row r="972" spans="10:10" ht="15.75" customHeight="1">
      <c r="J972" s="9"/>
    </row>
    <row r="973" spans="10:10" ht="15.75" customHeight="1">
      <c r="J973" s="9"/>
    </row>
    <row r="974" spans="10:10" ht="15.75" customHeight="1">
      <c r="J974" s="9"/>
    </row>
    <row r="975" spans="10:10" ht="15.75" customHeight="1">
      <c r="J975" s="9"/>
    </row>
    <row r="976" spans="10:10" ht="15.75" customHeight="1">
      <c r="J976" s="9"/>
    </row>
    <row r="977" spans="10:10" ht="15.75" customHeight="1">
      <c r="J977" s="9"/>
    </row>
    <row r="978" spans="10:10" ht="15.75" customHeight="1">
      <c r="J978" s="9"/>
    </row>
    <row r="979" spans="10:10" ht="15.75" customHeight="1">
      <c r="J979" s="9"/>
    </row>
    <row r="980" spans="10:10" ht="15.75" customHeight="1">
      <c r="J980" s="9"/>
    </row>
    <row r="981" spans="10:10" ht="15.75" customHeight="1">
      <c r="J981" s="9"/>
    </row>
    <row r="982" spans="10:10" ht="15.75" customHeight="1">
      <c r="J982" s="9"/>
    </row>
    <row r="983" spans="10:10" ht="15.75" customHeight="1">
      <c r="J983" s="9"/>
    </row>
    <row r="984" spans="10:10" ht="15.75" customHeight="1">
      <c r="J984" s="9"/>
    </row>
    <row r="985" spans="10:10" ht="15.75" customHeight="1">
      <c r="J985" s="9"/>
    </row>
    <row r="986" spans="10:10" ht="15.75" customHeight="1">
      <c r="J986" s="9"/>
    </row>
    <row r="987" spans="10:10" ht="15.75" customHeight="1">
      <c r="J987" s="9"/>
    </row>
    <row r="988" spans="10:10" ht="15.75" customHeight="1">
      <c r="J988" s="9"/>
    </row>
    <row r="989" spans="10:10" ht="15.75" customHeight="1">
      <c r="J989" s="9"/>
    </row>
    <row r="990" spans="10:10" ht="15.75" customHeight="1">
      <c r="J990" s="9"/>
    </row>
    <row r="991" spans="10:10" ht="15.75" customHeight="1">
      <c r="J991" s="9"/>
    </row>
    <row r="992" spans="10:10" ht="15.75" customHeight="1">
      <c r="J992" s="9"/>
    </row>
    <row r="993" spans="10:10" ht="15.75" customHeight="1">
      <c r="J993" s="9"/>
    </row>
    <row r="994" spans="10:10" ht="15.75" customHeight="1">
      <c r="J994" s="9"/>
    </row>
    <row r="995" spans="10:10" ht="15.75" customHeight="1">
      <c r="J995" s="9"/>
    </row>
    <row r="996" spans="10:10" ht="15.75" customHeight="1">
      <c r="J996" s="9"/>
    </row>
    <row r="997" spans="10:10" ht="15.75" customHeight="1">
      <c r="J997" s="9"/>
    </row>
    <row r="998" spans="10:10" ht="15.75" customHeight="1">
      <c r="J998" s="9"/>
    </row>
    <row r="999" spans="10:10" ht="15.75" customHeight="1">
      <c r="J999" s="9"/>
    </row>
    <row r="1000" spans="10:10" ht="15.75" customHeight="1">
      <c r="J1000" s="9"/>
    </row>
  </sheetData>
  <mergeCells count="13">
    <mergeCell ref="B44:H44"/>
    <mergeCell ref="B3:H3"/>
    <mergeCell ref="I3:L3"/>
    <mergeCell ref="B4:C4"/>
    <mergeCell ref="B5:L5"/>
    <mergeCell ref="B9:L9"/>
    <mergeCell ref="B15:L15"/>
    <mergeCell ref="B19:L19"/>
    <mergeCell ref="B22:L22"/>
    <mergeCell ref="B25:L25"/>
    <mergeCell ref="B28:L28"/>
    <mergeCell ref="B35:L35"/>
    <mergeCell ref="B38:L38"/>
  </mergeCell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fitToPage="1"/>
  </sheetPr>
  <dimension ref="A1:N1000"/>
  <sheetViews>
    <sheetView topLeftCell="B1" workbookViewId="0">
      <selection activeCell="I4" sqref="I4:L4"/>
    </sheetView>
  </sheetViews>
  <sheetFormatPr baseColWidth="10" defaultColWidth="12.5" defaultRowHeight="15" customHeight="1"/>
  <cols>
    <col min="1" max="1" width="8.5" hidden="1" customWidth="1"/>
    <col min="2" max="2" width="5.83203125" customWidth="1"/>
    <col min="3" max="3" width="29" customWidth="1"/>
    <col min="4" max="8" width="18.5" customWidth="1"/>
    <col min="9" max="9" width="10.83203125" customWidth="1"/>
    <col min="10" max="10" width="10.1640625" customWidth="1"/>
    <col min="11" max="11" width="9.83203125" customWidth="1"/>
    <col min="12" max="12" width="8.5" customWidth="1"/>
    <col min="13" max="13" width="11.5" customWidth="1"/>
    <col min="14" max="14" width="12.5" customWidth="1"/>
    <col min="15" max="26" width="8.5" customWidth="1"/>
  </cols>
  <sheetData>
    <row r="1" spans="1:14">
      <c r="J1" s="9"/>
    </row>
    <row r="2" spans="1:14">
      <c r="J2" s="9"/>
    </row>
    <row r="3" spans="1:14" ht="21" customHeight="1">
      <c r="B3" s="169" t="s">
        <v>641</v>
      </c>
      <c r="C3" s="166"/>
      <c r="D3" s="166"/>
      <c r="E3" s="166"/>
      <c r="F3" s="166"/>
      <c r="G3" s="166"/>
      <c r="H3" s="167"/>
      <c r="I3" s="170" t="s">
        <v>1</v>
      </c>
      <c r="J3" s="166"/>
      <c r="K3" s="166"/>
      <c r="L3" s="167"/>
    </row>
    <row r="4" spans="1:14" ht="32">
      <c r="B4" s="171" t="s">
        <v>642</v>
      </c>
      <c r="C4" s="167"/>
      <c r="D4" s="41">
        <v>1</v>
      </c>
      <c r="E4" s="41">
        <v>2</v>
      </c>
      <c r="F4" s="41">
        <v>3</v>
      </c>
      <c r="G4" s="41">
        <v>4</v>
      </c>
      <c r="H4" s="41">
        <v>5</v>
      </c>
      <c r="I4" s="42" t="s">
        <v>3</v>
      </c>
      <c r="J4" s="42" t="s">
        <v>4</v>
      </c>
      <c r="K4" s="42" t="s">
        <v>5</v>
      </c>
      <c r="L4" s="42" t="s">
        <v>6</v>
      </c>
    </row>
    <row r="5" spans="1:14" ht="16.5" customHeight="1">
      <c r="B5" s="172" t="s">
        <v>643</v>
      </c>
      <c r="C5" s="166"/>
      <c r="D5" s="166"/>
      <c r="E5" s="166"/>
      <c r="F5" s="166"/>
      <c r="G5" s="166"/>
      <c r="H5" s="166"/>
      <c r="I5" s="166"/>
      <c r="J5" s="166"/>
      <c r="K5" s="166"/>
      <c r="L5" s="167"/>
    </row>
    <row r="6" spans="1:14" ht="96">
      <c r="A6" s="3"/>
      <c r="B6" s="43">
        <v>1</v>
      </c>
      <c r="C6" s="44" t="s">
        <v>644</v>
      </c>
      <c r="D6" s="44" t="s">
        <v>645</v>
      </c>
      <c r="E6" s="44" t="s">
        <v>646</v>
      </c>
      <c r="F6" s="44" t="s">
        <v>647</v>
      </c>
      <c r="G6" s="44" t="s">
        <v>648</v>
      </c>
      <c r="H6" s="44" t="s">
        <v>649</v>
      </c>
      <c r="I6" s="45">
        <v>3</v>
      </c>
      <c r="J6" s="46">
        <v>4</v>
      </c>
      <c r="K6" s="47"/>
      <c r="L6" s="47"/>
    </row>
    <row r="7" spans="1:14" ht="96">
      <c r="A7" s="3"/>
      <c r="B7" s="43">
        <v>2</v>
      </c>
      <c r="C7" s="44" t="s">
        <v>650</v>
      </c>
      <c r="D7" s="44" t="s">
        <v>651</v>
      </c>
      <c r="E7" s="44" t="s">
        <v>652</v>
      </c>
      <c r="F7" s="44" t="s">
        <v>653</v>
      </c>
      <c r="G7" s="44" t="s">
        <v>654</v>
      </c>
      <c r="H7" s="44" t="s">
        <v>655</v>
      </c>
      <c r="I7" s="45">
        <v>4</v>
      </c>
      <c r="J7" s="46">
        <v>4</v>
      </c>
      <c r="K7" s="47"/>
      <c r="L7" s="47"/>
    </row>
    <row r="8" spans="1:14" ht="16.5" customHeight="1">
      <c r="B8" s="172" t="s">
        <v>656</v>
      </c>
      <c r="C8" s="166"/>
      <c r="D8" s="166"/>
      <c r="E8" s="166"/>
      <c r="F8" s="166"/>
      <c r="G8" s="166"/>
      <c r="H8" s="166"/>
      <c r="I8" s="166"/>
      <c r="J8" s="166"/>
      <c r="K8" s="166"/>
      <c r="L8" s="167"/>
    </row>
    <row r="9" spans="1:14" ht="80">
      <c r="A9" s="3"/>
      <c r="B9" s="43">
        <v>3</v>
      </c>
      <c r="C9" s="44" t="s">
        <v>657</v>
      </c>
      <c r="D9" s="44" t="s">
        <v>658</v>
      </c>
      <c r="E9" s="44" t="s">
        <v>659</v>
      </c>
      <c r="F9" s="44" t="s">
        <v>660</v>
      </c>
      <c r="G9" s="44" t="s">
        <v>661</v>
      </c>
      <c r="H9" s="44" t="s">
        <v>662</v>
      </c>
      <c r="I9" s="45">
        <v>3</v>
      </c>
      <c r="J9" s="47"/>
      <c r="K9" s="46">
        <v>4</v>
      </c>
      <c r="L9" s="48"/>
    </row>
    <row r="10" spans="1:14" ht="80">
      <c r="A10" s="3"/>
      <c r="B10" s="43">
        <v>4</v>
      </c>
      <c r="C10" s="44" t="s">
        <v>663</v>
      </c>
      <c r="D10" s="44" t="s">
        <v>664</v>
      </c>
      <c r="E10" s="44" t="s">
        <v>665</v>
      </c>
      <c r="F10" s="44" t="s">
        <v>666</v>
      </c>
      <c r="G10" s="44" t="s">
        <v>667</v>
      </c>
      <c r="H10" s="44" t="s">
        <v>668</v>
      </c>
      <c r="I10" s="45">
        <v>4</v>
      </c>
      <c r="J10" s="47"/>
      <c r="K10" s="46">
        <v>3</v>
      </c>
      <c r="L10" s="48"/>
    </row>
    <row r="11" spans="1:14" ht="16.5" customHeight="1">
      <c r="A11" s="3"/>
      <c r="B11" s="165" t="s">
        <v>669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7"/>
    </row>
    <row r="12" spans="1:14" ht="106">
      <c r="A12" s="3"/>
      <c r="B12" s="43">
        <v>5</v>
      </c>
      <c r="C12" s="44" t="s">
        <v>670</v>
      </c>
      <c r="D12" s="44" t="s">
        <v>671</v>
      </c>
      <c r="E12" s="44" t="s">
        <v>672</v>
      </c>
      <c r="F12" s="44" t="s">
        <v>673</v>
      </c>
      <c r="G12" s="44" t="s">
        <v>674</v>
      </c>
      <c r="H12" s="44" t="s">
        <v>675</v>
      </c>
      <c r="I12" s="49"/>
      <c r="J12" s="47"/>
      <c r="K12" s="50">
        <v>2.5</v>
      </c>
      <c r="L12" s="47"/>
      <c r="M12" s="51" t="s">
        <v>676</v>
      </c>
    </row>
    <row r="13" spans="1:14" ht="64">
      <c r="A13" s="3"/>
      <c r="B13" s="43">
        <v>6</v>
      </c>
      <c r="C13" s="44" t="s">
        <v>677</v>
      </c>
      <c r="D13" s="44" t="s">
        <v>678</v>
      </c>
      <c r="E13" s="44" t="s">
        <v>679</v>
      </c>
      <c r="F13" s="44" t="s">
        <v>680</v>
      </c>
      <c r="G13" s="44" t="s">
        <v>681</v>
      </c>
      <c r="H13" s="44" t="s">
        <v>682</v>
      </c>
      <c r="I13" s="49"/>
      <c r="J13" s="47"/>
      <c r="K13" s="46">
        <v>3</v>
      </c>
      <c r="L13" s="47"/>
    </row>
    <row r="14" spans="1:14" ht="16.5" customHeight="1">
      <c r="B14" s="165" t="s">
        <v>683</v>
      </c>
      <c r="C14" s="166"/>
      <c r="D14" s="166"/>
      <c r="E14" s="166"/>
      <c r="F14" s="166"/>
      <c r="G14" s="166"/>
      <c r="H14" s="166"/>
      <c r="I14" s="166"/>
      <c r="J14" s="166"/>
      <c r="K14" s="166"/>
      <c r="L14" s="167"/>
    </row>
    <row r="15" spans="1:14" ht="80">
      <c r="B15" s="43">
        <v>7</v>
      </c>
      <c r="C15" s="44" t="s">
        <v>684</v>
      </c>
      <c r="D15" s="44" t="s">
        <v>685</v>
      </c>
      <c r="E15" s="44" t="s">
        <v>686</v>
      </c>
      <c r="F15" s="44" t="s">
        <v>687</v>
      </c>
      <c r="G15" s="44" t="s">
        <v>688</v>
      </c>
      <c r="H15" s="44" t="s">
        <v>689</v>
      </c>
      <c r="I15" s="44"/>
      <c r="J15" s="46">
        <v>5</v>
      </c>
      <c r="K15" s="46">
        <v>4</v>
      </c>
      <c r="L15" s="52"/>
    </row>
    <row r="16" spans="1:14" ht="80">
      <c r="B16" s="43">
        <v>8</v>
      </c>
      <c r="C16" s="44" t="s">
        <v>690</v>
      </c>
      <c r="D16" s="44" t="s">
        <v>651</v>
      </c>
      <c r="E16" s="44" t="s">
        <v>652</v>
      </c>
      <c r="F16" s="44" t="s">
        <v>653</v>
      </c>
      <c r="G16" s="44" t="s">
        <v>654</v>
      </c>
      <c r="H16" s="44" t="s">
        <v>691</v>
      </c>
      <c r="I16" s="44"/>
      <c r="J16" s="50">
        <v>3.5</v>
      </c>
      <c r="K16" s="50">
        <v>3.5</v>
      </c>
      <c r="L16" s="52"/>
      <c r="M16" s="50" t="s">
        <v>692</v>
      </c>
      <c r="N16" s="37" t="s">
        <v>693</v>
      </c>
    </row>
    <row r="17" spans="2:12" ht="16.5" customHeight="1">
      <c r="B17" s="165" t="s">
        <v>694</v>
      </c>
      <c r="C17" s="166"/>
      <c r="D17" s="166"/>
      <c r="E17" s="166"/>
      <c r="F17" s="166"/>
      <c r="G17" s="166"/>
      <c r="H17" s="166"/>
      <c r="I17" s="166"/>
      <c r="J17" s="166"/>
      <c r="K17" s="166"/>
      <c r="L17" s="167"/>
    </row>
    <row r="18" spans="2:12" ht="80">
      <c r="B18" s="43">
        <v>9</v>
      </c>
      <c r="C18" s="44" t="s">
        <v>695</v>
      </c>
      <c r="D18" s="44" t="s">
        <v>696</v>
      </c>
      <c r="E18" s="44" t="s">
        <v>697</v>
      </c>
      <c r="F18" s="44" t="s">
        <v>698</v>
      </c>
      <c r="G18" s="44" t="s">
        <v>699</v>
      </c>
      <c r="H18" s="44" t="s">
        <v>700</v>
      </c>
      <c r="I18" s="49"/>
      <c r="J18" s="47"/>
      <c r="K18" s="47"/>
      <c r="L18" s="46">
        <v>5</v>
      </c>
    </row>
    <row r="19" spans="2:12" ht="80">
      <c r="B19" s="43">
        <v>10</v>
      </c>
      <c r="C19" s="44" t="s">
        <v>701</v>
      </c>
      <c r="D19" s="44" t="s">
        <v>702</v>
      </c>
      <c r="E19" s="44" t="s">
        <v>703</v>
      </c>
      <c r="F19" s="44" t="s">
        <v>704</v>
      </c>
      <c r="G19" s="44" t="s">
        <v>705</v>
      </c>
      <c r="H19" s="44" t="s">
        <v>706</v>
      </c>
      <c r="I19" s="49"/>
      <c r="J19" s="47"/>
      <c r="K19" s="47"/>
      <c r="L19" s="46">
        <v>5</v>
      </c>
    </row>
    <row r="20" spans="2:12" ht="16.5" customHeight="1">
      <c r="B20" s="165" t="s">
        <v>707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7"/>
    </row>
    <row r="21" spans="2:12" ht="15.75" customHeight="1">
      <c r="B21" s="43">
        <v>11</v>
      </c>
      <c r="C21" s="44" t="s">
        <v>708</v>
      </c>
      <c r="D21" s="44" t="s">
        <v>709</v>
      </c>
      <c r="E21" s="44" t="s">
        <v>710</v>
      </c>
      <c r="F21" s="44" t="s">
        <v>711</v>
      </c>
      <c r="G21" s="44" t="s">
        <v>712</v>
      </c>
      <c r="H21" s="44" t="s">
        <v>713</v>
      </c>
      <c r="I21" s="45">
        <v>5</v>
      </c>
      <c r="J21" s="47"/>
      <c r="K21" s="47"/>
      <c r="L21" s="47"/>
    </row>
    <row r="22" spans="2:12" ht="15.75" customHeight="1">
      <c r="B22" s="43">
        <v>12</v>
      </c>
      <c r="C22" s="44" t="s">
        <v>714</v>
      </c>
      <c r="D22" s="44" t="s">
        <v>442</v>
      </c>
      <c r="E22" s="44" t="s">
        <v>443</v>
      </c>
      <c r="F22" s="44" t="s">
        <v>444</v>
      </c>
      <c r="G22" s="44" t="s">
        <v>445</v>
      </c>
      <c r="H22" s="44" t="s">
        <v>715</v>
      </c>
      <c r="I22" s="45">
        <v>5</v>
      </c>
      <c r="J22" s="47"/>
      <c r="K22" s="47"/>
      <c r="L22" s="47"/>
    </row>
    <row r="23" spans="2:12" ht="15.75" customHeight="1">
      <c r="B23" s="168" t="s">
        <v>108</v>
      </c>
      <c r="C23" s="166"/>
      <c r="D23" s="166"/>
      <c r="E23" s="166"/>
      <c r="F23" s="166"/>
      <c r="G23" s="166"/>
      <c r="H23" s="167"/>
      <c r="I23" s="53">
        <f t="shared" ref="I23:L23" si="0">SUM(I6:I7,I9:I10,I12:I13,I15:I16,I18:I19,I21:I22)</f>
        <v>24</v>
      </c>
      <c r="J23" s="54">
        <f t="shared" si="0"/>
        <v>16.5</v>
      </c>
      <c r="K23" s="53">
        <f t="shared" si="0"/>
        <v>20</v>
      </c>
      <c r="L23" s="53">
        <f t="shared" si="0"/>
        <v>10</v>
      </c>
    </row>
    <row r="24" spans="2:12" ht="15.75" customHeight="1">
      <c r="I24" s="55">
        <f>COUNT(I6,I7,I9,I10,I21,I22)</f>
        <v>6</v>
      </c>
      <c r="J24" s="9">
        <f>COUNT(J6,J7,J15,J16)</f>
        <v>4</v>
      </c>
      <c r="K24" s="29">
        <f>COUNT(K9,K10,K12,K13,K15,K16)</f>
        <v>6</v>
      </c>
      <c r="L24" s="29">
        <f>COUNT(L18,L19)</f>
        <v>2</v>
      </c>
    </row>
    <row r="25" spans="2:12" ht="15.75" customHeight="1">
      <c r="I25" s="29">
        <f t="shared" ref="I25:L25" si="1">I24*5</f>
        <v>30</v>
      </c>
      <c r="J25" s="29">
        <f t="shared" si="1"/>
        <v>20</v>
      </c>
      <c r="K25" s="29">
        <f t="shared" si="1"/>
        <v>30</v>
      </c>
      <c r="L25" s="29">
        <f t="shared" si="1"/>
        <v>10</v>
      </c>
    </row>
    <row r="26" spans="2:12" ht="15.75" customHeight="1">
      <c r="J26" s="9"/>
    </row>
    <row r="27" spans="2:12" ht="15.75" customHeight="1">
      <c r="J27" s="9"/>
    </row>
    <row r="28" spans="2:12" ht="15.75" customHeight="1">
      <c r="J28" s="9"/>
    </row>
    <row r="29" spans="2:12" ht="15.75" customHeight="1">
      <c r="J29" s="9"/>
    </row>
    <row r="30" spans="2:12" ht="15.75" customHeight="1">
      <c r="J30" s="9"/>
    </row>
    <row r="31" spans="2:12" ht="15.75" customHeight="1">
      <c r="J31" s="9"/>
    </row>
    <row r="32" spans="2:12" ht="15.75" customHeight="1">
      <c r="J32" s="9"/>
    </row>
    <row r="33" spans="10:10" ht="15.75" customHeight="1">
      <c r="J33" s="9"/>
    </row>
    <row r="34" spans="10:10" ht="15.75" customHeight="1">
      <c r="J34" s="9"/>
    </row>
    <row r="35" spans="10:10" ht="15.75" customHeight="1">
      <c r="J35" s="9"/>
    </row>
    <row r="36" spans="10:10" ht="15.75" customHeight="1">
      <c r="J36" s="9"/>
    </row>
    <row r="37" spans="10:10" ht="15.75" customHeight="1">
      <c r="J37" s="9"/>
    </row>
    <row r="38" spans="10:10" ht="15.75" customHeight="1">
      <c r="J38" s="9"/>
    </row>
    <row r="39" spans="10:10" ht="15.75" customHeight="1">
      <c r="J39" s="9"/>
    </row>
    <row r="40" spans="10:10" ht="15.75" customHeight="1">
      <c r="J40" s="9"/>
    </row>
    <row r="41" spans="10:10" ht="15.75" customHeight="1">
      <c r="J41" s="9"/>
    </row>
    <row r="42" spans="10:10" ht="15.75" customHeight="1">
      <c r="J42" s="9"/>
    </row>
    <row r="43" spans="10:10" ht="15.75" customHeight="1">
      <c r="J43" s="9"/>
    </row>
    <row r="44" spans="10:10" ht="15.75" customHeight="1">
      <c r="J44" s="9"/>
    </row>
    <row r="45" spans="10:10" ht="15.75" customHeight="1">
      <c r="J45" s="9"/>
    </row>
    <row r="46" spans="10:10" ht="15.75" customHeight="1">
      <c r="J46" s="9"/>
    </row>
    <row r="47" spans="10:10" ht="15.75" customHeight="1">
      <c r="J47" s="9"/>
    </row>
    <row r="48" spans="10:10" ht="15.75" customHeight="1">
      <c r="J48" s="9"/>
    </row>
    <row r="49" spans="10:10" ht="15.75" customHeight="1">
      <c r="J49" s="9"/>
    </row>
    <row r="50" spans="10:10" ht="15.75" customHeight="1">
      <c r="J50" s="9"/>
    </row>
    <row r="51" spans="10:10" ht="15.75" customHeight="1">
      <c r="J51" s="9"/>
    </row>
    <row r="52" spans="10:10" ht="15.75" customHeight="1">
      <c r="J52" s="9"/>
    </row>
    <row r="53" spans="10:10" ht="15.75" customHeight="1">
      <c r="J53" s="9"/>
    </row>
    <row r="54" spans="10:10" ht="15.75" customHeight="1">
      <c r="J54" s="9"/>
    </row>
    <row r="55" spans="10:10" ht="15.75" customHeight="1">
      <c r="J55" s="9"/>
    </row>
    <row r="56" spans="10:10" ht="15.75" customHeight="1">
      <c r="J56" s="9"/>
    </row>
    <row r="57" spans="10:10" ht="15.75" customHeight="1">
      <c r="J57" s="9"/>
    </row>
    <row r="58" spans="10:10" ht="15.75" customHeight="1">
      <c r="J58" s="9"/>
    </row>
    <row r="59" spans="10:10" ht="15.75" customHeight="1">
      <c r="J59" s="9"/>
    </row>
    <row r="60" spans="10:10" ht="15.75" customHeight="1">
      <c r="J60" s="9"/>
    </row>
    <row r="61" spans="10:10" ht="15.75" customHeight="1">
      <c r="J61" s="9"/>
    </row>
    <row r="62" spans="10:10" ht="15.75" customHeight="1">
      <c r="J62" s="9"/>
    </row>
    <row r="63" spans="10:10" ht="15.75" customHeight="1">
      <c r="J63" s="9"/>
    </row>
    <row r="64" spans="10:10" ht="15.75" customHeight="1">
      <c r="J64" s="9"/>
    </row>
    <row r="65" spans="10:10" ht="15.75" customHeight="1">
      <c r="J65" s="9"/>
    </row>
    <row r="66" spans="10:10" ht="15.75" customHeight="1">
      <c r="J66" s="9"/>
    </row>
    <row r="67" spans="10:10" ht="15.75" customHeight="1">
      <c r="J67" s="9"/>
    </row>
    <row r="68" spans="10:10" ht="15.75" customHeight="1">
      <c r="J68" s="9"/>
    </row>
    <row r="69" spans="10:10" ht="15.75" customHeight="1">
      <c r="J69" s="9"/>
    </row>
    <row r="70" spans="10:10" ht="15.75" customHeight="1">
      <c r="J70" s="9"/>
    </row>
    <row r="71" spans="10:10" ht="15.75" customHeight="1">
      <c r="J71" s="9"/>
    </row>
    <row r="72" spans="10:10" ht="15.75" customHeight="1">
      <c r="J72" s="9"/>
    </row>
    <row r="73" spans="10:10" ht="15.75" customHeight="1">
      <c r="J73" s="9"/>
    </row>
    <row r="74" spans="10:10" ht="15.75" customHeight="1">
      <c r="J74" s="9"/>
    </row>
    <row r="75" spans="10:10" ht="15.75" customHeight="1">
      <c r="J75" s="9"/>
    </row>
    <row r="76" spans="10:10" ht="15.75" customHeight="1">
      <c r="J76" s="9"/>
    </row>
    <row r="77" spans="10:10" ht="15.75" customHeight="1">
      <c r="J77" s="9"/>
    </row>
    <row r="78" spans="10:10" ht="15.75" customHeight="1">
      <c r="J78" s="9"/>
    </row>
    <row r="79" spans="10:10" ht="15.75" customHeight="1">
      <c r="J79" s="9"/>
    </row>
    <row r="80" spans="10:10" ht="15.75" customHeight="1">
      <c r="J80" s="9"/>
    </row>
    <row r="81" spans="10:10" ht="15.75" customHeight="1">
      <c r="J81" s="9"/>
    </row>
    <row r="82" spans="10:10" ht="15.75" customHeight="1">
      <c r="J82" s="9"/>
    </row>
    <row r="83" spans="10:10" ht="15.75" customHeight="1">
      <c r="J83" s="9"/>
    </row>
    <row r="84" spans="10:10" ht="15.75" customHeight="1">
      <c r="J84" s="9"/>
    </row>
    <row r="85" spans="10:10" ht="15.75" customHeight="1">
      <c r="J85" s="9"/>
    </row>
    <row r="86" spans="10:10" ht="15.75" customHeight="1">
      <c r="J86" s="9"/>
    </row>
    <row r="87" spans="10:10" ht="15.75" customHeight="1">
      <c r="J87" s="9"/>
    </row>
    <row r="88" spans="10:10" ht="15.75" customHeight="1">
      <c r="J88" s="9"/>
    </row>
    <row r="89" spans="10:10" ht="15.75" customHeight="1">
      <c r="J89" s="9"/>
    </row>
    <row r="90" spans="10:10" ht="15.75" customHeight="1">
      <c r="J90" s="9"/>
    </row>
    <row r="91" spans="10:10" ht="15.75" customHeight="1">
      <c r="J91" s="9"/>
    </row>
    <row r="92" spans="10:10" ht="15.75" customHeight="1">
      <c r="J92" s="9"/>
    </row>
    <row r="93" spans="10:10" ht="15.75" customHeight="1">
      <c r="J93" s="9"/>
    </row>
    <row r="94" spans="10:10" ht="15.75" customHeight="1">
      <c r="J94" s="9"/>
    </row>
    <row r="95" spans="10:10" ht="15.75" customHeight="1">
      <c r="J95" s="9"/>
    </row>
    <row r="96" spans="10:10" ht="15.75" customHeight="1">
      <c r="J96" s="9"/>
    </row>
    <row r="97" spans="10:10" ht="15.75" customHeight="1">
      <c r="J97" s="9"/>
    </row>
    <row r="98" spans="10:10" ht="15.75" customHeight="1">
      <c r="J98" s="9"/>
    </row>
    <row r="99" spans="10:10" ht="15.75" customHeight="1">
      <c r="J99" s="9"/>
    </row>
    <row r="100" spans="10:10" ht="15.75" customHeight="1">
      <c r="J100" s="9"/>
    </row>
    <row r="101" spans="10:10" ht="15.75" customHeight="1">
      <c r="J101" s="9"/>
    </row>
    <row r="102" spans="10:10" ht="15.75" customHeight="1">
      <c r="J102" s="9"/>
    </row>
    <row r="103" spans="10:10" ht="15.75" customHeight="1">
      <c r="J103" s="9"/>
    </row>
    <row r="104" spans="10:10" ht="15.75" customHeight="1">
      <c r="J104" s="9"/>
    </row>
    <row r="105" spans="10:10" ht="15.75" customHeight="1">
      <c r="J105" s="9"/>
    </row>
    <row r="106" spans="10:10" ht="15.75" customHeight="1">
      <c r="J106" s="9"/>
    </row>
    <row r="107" spans="10:10" ht="15.75" customHeight="1">
      <c r="J107" s="9"/>
    </row>
    <row r="108" spans="10:10" ht="15.75" customHeight="1">
      <c r="J108" s="9"/>
    </row>
    <row r="109" spans="10:10" ht="15.75" customHeight="1">
      <c r="J109" s="9"/>
    </row>
    <row r="110" spans="10:10" ht="15.75" customHeight="1">
      <c r="J110" s="9"/>
    </row>
    <row r="111" spans="10:10" ht="15.75" customHeight="1">
      <c r="J111" s="9"/>
    </row>
    <row r="112" spans="10:10" ht="15.75" customHeight="1">
      <c r="J112" s="9"/>
    </row>
    <row r="113" spans="10:10" ht="15.75" customHeight="1">
      <c r="J113" s="9"/>
    </row>
    <row r="114" spans="10:10" ht="15.75" customHeight="1">
      <c r="J114" s="9"/>
    </row>
    <row r="115" spans="10:10" ht="15.75" customHeight="1">
      <c r="J115" s="9"/>
    </row>
    <row r="116" spans="10:10" ht="15.75" customHeight="1">
      <c r="J116" s="9"/>
    </row>
    <row r="117" spans="10:10" ht="15.75" customHeight="1">
      <c r="J117" s="9"/>
    </row>
    <row r="118" spans="10:10" ht="15.75" customHeight="1">
      <c r="J118" s="9"/>
    </row>
    <row r="119" spans="10:10" ht="15.75" customHeight="1">
      <c r="J119" s="9"/>
    </row>
    <row r="120" spans="10:10" ht="15.75" customHeight="1">
      <c r="J120" s="9"/>
    </row>
    <row r="121" spans="10:10" ht="15.75" customHeight="1">
      <c r="J121" s="9"/>
    </row>
    <row r="122" spans="10:10" ht="15.75" customHeight="1">
      <c r="J122" s="9"/>
    </row>
    <row r="123" spans="10:10" ht="15.75" customHeight="1">
      <c r="J123" s="9"/>
    </row>
    <row r="124" spans="10:10" ht="15.75" customHeight="1">
      <c r="J124" s="9"/>
    </row>
    <row r="125" spans="10:10" ht="15.75" customHeight="1">
      <c r="J125" s="9"/>
    </row>
    <row r="126" spans="10:10" ht="15.75" customHeight="1">
      <c r="J126" s="9"/>
    </row>
    <row r="127" spans="10:10" ht="15.75" customHeight="1">
      <c r="J127" s="9"/>
    </row>
    <row r="128" spans="10:10" ht="15.75" customHeight="1">
      <c r="J128" s="9"/>
    </row>
    <row r="129" spans="10:10" ht="15.75" customHeight="1">
      <c r="J129" s="9"/>
    </row>
    <row r="130" spans="10:10" ht="15.75" customHeight="1">
      <c r="J130" s="9"/>
    </row>
    <row r="131" spans="10:10" ht="15.75" customHeight="1">
      <c r="J131" s="9"/>
    </row>
    <row r="132" spans="10:10" ht="15.75" customHeight="1">
      <c r="J132" s="9"/>
    </row>
    <row r="133" spans="10:10" ht="15.75" customHeight="1">
      <c r="J133" s="9"/>
    </row>
    <row r="134" spans="10:10" ht="15.75" customHeight="1">
      <c r="J134" s="9"/>
    </row>
    <row r="135" spans="10:10" ht="15.75" customHeight="1">
      <c r="J135" s="9"/>
    </row>
    <row r="136" spans="10:10" ht="15.75" customHeight="1">
      <c r="J136" s="9"/>
    </row>
    <row r="137" spans="10:10" ht="15.75" customHeight="1">
      <c r="J137" s="9"/>
    </row>
    <row r="138" spans="10:10" ht="15.75" customHeight="1">
      <c r="J138" s="9"/>
    </row>
    <row r="139" spans="10:10" ht="15.75" customHeight="1">
      <c r="J139" s="9"/>
    </row>
    <row r="140" spans="10:10" ht="15.75" customHeight="1">
      <c r="J140" s="9"/>
    </row>
    <row r="141" spans="10:10" ht="15.75" customHeight="1">
      <c r="J141" s="9"/>
    </row>
    <row r="142" spans="10:10" ht="15.75" customHeight="1">
      <c r="J142" s="9"/>
    </row>
    <row r="143" spans="10:10" ht="15.75" customHeight="1">
      <c r="J143" s="9"/>
    </row>
    <row r="144" spans="10:10" ht="15.75" customHeight="1">
      <c r="J144" s="9"/>
    </row>
    <row r="145" spans="10:10" ht="15.75" customHeight="1">
      <c r="J145" s="9"/>
    </row>
    <row r="146" spans="10:10" ht="15.75" customHeight="1">
      <c r="J146" s="9"/>
    </row>
    <row r="147" spans="10:10" ht="15.75" customHeight="1">
      <c r="J147" s="9"/>
    </row>
    <row r="148" spans="10:10" ht="15.75" customHeight="1">
      <c r="J148" s="9"/>
    </row>
    <row r="149" spans="10:10" ht="15.75" customHeight="1">
      <c r="J149" s="9"/>
    </row>
    <row r="150" spans="10:10" ht="15.75" customHeight="1">
      <c r="J150" s="9"/>
    </row>
    <row r="151" spans="10:10" ht="15.75" customHeight="1">
      <c r="J151" s="9"/>
    </row>
    <row r="152" spans="10:10" ht="15.75" customHeight="1">
      <c r="J152" s="9"/>
    </row>
    <row r="153" spans="10:10" ht="15.75" customHeight="1">
      <c r="J153" s="9"/>
    </row>
    <row r="154" spans="10:10" ht="15.75" customHeight="1">
      <c r="J154" s="9"/>
    </row>
    <row r="155" spans="10:10" ht="15.75" customHeight="1">
      <c r="J155" s="9"/>
    </row>
    <row r="156" spans="10:10" ht="15.75" customHeight="1">
      <c r="J156" s="9"/>
    </row>
    <row r="157" spans="10:10" ht="15.75" customHeight="1">
      <c r="J157" s="9"/>
    </row>
    <row r="158" spans="10:10" ht="15.75" customHeight="1">
      <c r="J158" s="9"/>
    </row>
    <row r="159" spans="10:10" ht="15.75" customHeight="1">
      <c r="J159" s="9"/>
    </row>
    <row r="160" spans="10:10" ht="15.75" customHeight="1">
      <c r="J160" s="9"/>
    </row>
    <row r="161" spans="10:10" ht="15.75" customHeight="1">
      <c r="J161" s="9"/>
    </row>
    <row r="162" spans="10:10" ht="15.75" customHeight="1">
      <c r="J162" s="9"/>
    </row>
    <row r="163" spans="10:10" ht="15.75" customHeight="1">
      <c r="J163" s="9"/>
    </row>
    <row r="164" spans="10:10" ht="15.75" customHeight="1">
      <c r="J164" s="9"/>
    </row>
    <row r="165" spans="10:10" ht="15.75" customHeight="1">
      <c r="J165" s="9"/>
    </row>
    <row r="166" spans="10:10" ht="15.75" customHeight="1">
      <c r="J166" s="9"/>
    </row>
    <row r="167" spans="10:10" ht="15.75" customHeight="1">
      <c r="J167" s="9"/>
    </row>
    <row r="168" spans="10:10" ht="15.75" customHeight="1">
      <c r="J168" s="9"/>
    </row>
    <row r="169" spans="10:10" ht="15.75" customHeight="1">
      <c r="J169" s="9"/>
    </row>
    <row r="170" spans="10:10" ht="15.75" customHeight="1">
      <c r="J170" s="9"/>
    </row>
    <row r="171" spans="10:10" ht="15.75" customHeight="1">
      <c r="J171" s="9"/>
    </row>
    <row r="172" spans="10:10" ht="15.75" customHeight="1">
      <c r="J172" s="9"/>
    </row>
    <row r="173" spans="10:10" ht="15.75" customHeight="1">
      <c r="J173" s="9"/>
    </row>
    <row r="174" spans="10:10" ht="15.75" customHeight="1">
      <c r="J174" s="9"/>
    </row>
    <row r="175" spans="10:10" ht="15.75" customHeight="1">
      <c r="J175" s="9"/>
    </row>
    <row r="176" spans="10:10" ht="15.75" customHeight="1">
      <c r="J176" s="9"/>
    </row>
    <row r="177" spans="10:10" ht="15.75" customHeight="1">
      <c r="J177" s="9"/>
    </row>
    <row r="178" spans="10:10" ht="15.75" customHeight="1">
      <c r="J178" s="9"/>
    </row>
    <row r="179" spans="10:10" ht="15.75" customHeight="1">
      <c r="J179" s="9"/>
    </row>
    <row r="180" spans="10:10" ht="15.75" customHeight="1">
      <c r="J180" s="9"/>
    </row>
    <row r="181" spans="10:10" ht="15.75" customHeight="1">
      <c r="J181" s="9"/>
    </row>
    <row r="182" spans="10:10" ht="15.75" customHeight="1">
      <c r="J182" s="9"/>
    </row>
    <row r="183" spans="10:10" ht="15.75" customHeight="1">
      <c r="J183" s="9"/>
    </row>
    <row r="184" spans="10:10" ht="15.75" customHeight="1">
      <c r="J184" s="9"/>
    </row>
    <row r="185" spans="10:10" ht="15.75" customHeight="1">
      <c r="J185" s="9"/>
    </row>
    <row r="186" spans="10:10" ht="15.75" customHeight="1">
      <c r="J186" s="9"/>
    </row>
    <row r="187" spans="10:10" ht="15.75" customHeight="1">
      <c r="J187" s="9"/>
    </row>
    <row r="188" spans="10:10" ht="15.75" customHeight="1">
      <c r="J188" s="9"/>
    </row>
    <row r="189" spans="10:10" ht="15.75" customHeight="1">
      <c r="J189" s="9"/>
    </row>
    <row r="190" spans="10:10" ht="15.75" customHeight="1">
      <c r="J190" s="9"/>
    </row>
    <row r="191" spans="10:10" ht="15.75" customHeight="1">
      <c r="J191" s="9"/>
    </row>
    <row r="192" spans="10:10" ht="15.75" customHeight="1">
      <c r="J192" s="9"/>
    </row>
    <row r="193" spans="10:10" ht="15.75" customHeight="1">
      <c r="J193" s="9"/>
    </row>
    <row r="194" spans="10:10" ht="15.75" customHeight="1">
      <c r="J194" s="9"/>
    </row>
    <row r="195" spans="10:10" ht="15.75" customHeight="1">
      <c r="J195" s="9"/>
    </row>
    <row r="196" spans="10:10" ht="15.75" customHeight="1">
      <c r="J196" s="9"/>
    </row>
    <row r="197" spans="10:10" ht="15.75" customHeight="1">
      <c r="J197" s="9"/>
    </row>
    <row r="198" spans="10:10" ht="15.75" customHeight="1">
      <c r="J198" s="9"/>
    </row>
    <row r="199" spans="10:10" ht="15.75" customHeight="1">
      <c r="J199" s="9"/>
    </row>
    <row r="200" spans="10:10" ht="15.75" customHeight="1">
      <c r="J200" s="9"/>
    </row>
    <row r="201" spans="10:10" ht="15.75" customHeight="1">
      <c r="J201" s="9"/>
    </row>
    <row r="202" spans="10:10" ht="15.75" customHeight="1">
      <c r="J202" s="9"/>
    </row>
    <row r="203" spans="10:10" ht="15.75" customHeight="1">
      <c r="J203" s="9"/>
    </row>
    <row r="204" spans="10:10" ht="15.75" customHeight="1">
      <c r="J204" s="9"/>
    </row>
    <row r="205" spans="10:10" ht="15.75" customHeight="1">
      <c r="J205" s="9"/>
    </row>
    <row r="206" spans="10:10" ht="15.75" customHeight="1">
      <c r="J206" s="9"/>
    </row>
    <row r="207" spans="10:10" ht="15.75" customHeight="1">
      <c r="J207" s="9"/>
    </row>
    <row r="208" spans="10:10" ht="15.75" customHeight="1">
      <c r="J208" s="9"/>
    </row>
    <row r="209" spans="10:10" ht="15.75" customHeight="1">
      <c r="J209" s="9"/>
    </row>
    <row r="210" spans="10:10" ht="15.75" customHeight="1">
      <c r="J210" s="9"/>
    </row>
    <row r="211" spans="10:10" ht="15.75" customHeight="1">
      <c r="J211" s="9"/>
    </row>
    <row r="212" spans="10:10" ht="15.75" customHeight="1">
      <c r="J212" s="9"/>
    </row>
    <row r="213" spans="10:10" ht="15.75" customHeight="1">
      <c r="J213" s="9"/>
    </row>
    <row r="214" spans="10:10" ht="15.75" customHeight="1">
      <c r="J214" s="9"/>
    </row>
    <row r="215" spans="10:10" ht="15.75" customHeight="1">
      <c r="J215" s="9"/>
    </row>
    <row r="216" spans="10:10" ht="15.75" customHeight="1">
      <c r="J216" s="9"/>
    </row>
    <row r="217" spans="10:10" ht="15.75" customHeight="1">
      <c r="J217" s="9"/>
    </row>
    <row r="218" spans="10:10" ht="15.75" customHeight="1">
      <c r="J218" s="9"/>
    </row>
    <row r="219" spans="10:10" ht="15.75" customHeight="1">
      <c r="J219" s="9"/>
    </row>
    <row r="220" spans="10:10" ht="15.75" customHeight="1">
      <c r="J220" s="9"/>
    </row>
    <row r="221" spans="10:10" ht="15.75" customHeight="1">
      <c r="J221" s="9"/>
    </row>
    <row r="222" spans="10:10" ht="15.75" customHeight="1">
      <c r="J222" s="9"/>
    </row>
    <row r="223" spans="10:10" ht="15.75" customHeight="1">
      <c r="J223" s="9"/>
    </row>
    <row r="224" spans="10:10" ht="15.75" customHeight="1">
      <c r="J224" s="9"/>
    </row>
    <row r="225" spans="10:10" ht="15.75" customHeight="1">
      <c r="J225" s="9"/>
    </row>
    <row r="226" spans="10:10" ht="15.75" customHeight="1">
      <c r="J226" s="9"/>
    </row>
    <row r="227" spans="10:10" ht="15.75" customHeight="1">
      <c r="J227" s="9"/>
    </row>
    <row r="228" spans="10:10" ht="15.75" customHeight="1">
      <c r="J228" s="9"/>
    </row>
    <row r="229" spans="10:10" ht="15.75" customHeight="1">
      <c r="J229" s="9"/>
    </row>
    <row r="230" spans="10:10" ht="15.75" customHeight="1">
      <c r="J230" s="9"/>
    </row>
    <row r="231" spans="10:10" ht="15.75" customHeight="1">
      <c r="J231" s="9"/>
    </row>
    <row r="232" spans="10:10" ht="15.75" customHeight="1">
      <c r="J232" s="9"/>
    </row>
    <row r="233" spans="10:10" ht="15.75" customHeight="1">
      <c r="J233" s="9"/>
    </row>
    <row r="234" spans="10:10" ht="15.75" customHeight="1">
      <c r="J234" s="9"/>
    </row>
    <row r="235" spans="10:10" ht="15.75" customHeight="1">
      <c r="J235" s="9"/>
    </row>
    <row r="236" spans="10:10" ht="15.75" customHeight="1">
      <c r="J236" s="9"/>
    </row>
    <row r="237" spans="10:10" ht="15.75" customHeight="1">
      <c r="J237" s="9"/>
    </row>
    <row r="238" spans="10:10" ht="15.75" customHeight="1">
      <c r="J238" s="9"/>
    </row>
    <row r="239" spans="10:10" ht="15.75" customHeight="1">
      <c r="J239" s="9"/>
    </row>
    <row r="240" spans="10:10" ht="15.75" customHeight="1">
      <c r="J240" s="9"/>
    </row>
    <row r="241" spans="10:10" ht="15.75" customHeight="1">
      <c r="J241" s="9"/>
    </row>
    <row r="242" spans="10:10" ht="15.75" customHeight="1">
      <c r="J242" s="9"/>
    </row>
    <row r="243" spans="10:10" ht="15.75" customHeight="1">
      <c r="J243" s="9"/>
    </row>
    <row r="244" spans="10:10" ht="15.75" customHeight="1">
      <c r="J244" s="9"/>
    </row>
    <row r="245" spans="10:10" ht="15.75" customHeight="1">
      <c r="J245" s="9"/>
    </row>
    <row r="246" spans="10:10" ht="15.75" customHeight="1">
      <c r="J246" s="9"/>
    </row>
    <row r="247" spans="10:10" ht="15.75" customHeight="1">
      <c r="J247" s="9"/>
    </row>
    <row r="248" spans="10:10" ht="15.75" customHeight="1">
      <c r="J248" s="9"/>
    </row>
    <row r="249" spans="10:10" ht="15.75" customHeight="1">
      <c r="J249" s="9"/>
    </row>
    <row r="250" spans="10:10" ht="15.75" customHeight="1">
      <c r="J250" s="9"/>
    </row>
    <row r="251" spans="10:10" ht="15.75" customHeight="1">
      <c r="J251" s="9"/>
    </row>
    <row r="252" spans="10:10" ht="15.75" customHeight="1">
      <c r="J252" s="9"/>
    </row>
    <row r="253" spans="10:10" ht="15.75" customHeight="1">
      <c r="J253" s="9"/>
    </row>
    <row r="254" spans="10:10" ht="15.75" customHeight="1">
      <c r="J254" s="9"/>
    </row>
    <row r="255" spans="10:10" ht="15.75" customHeight="1">
      <c r="J255" s="9"/>
    </row>
    <row r="256" spans="10:10" ht="15.75" customHeight="1">
      <c r="J256" s="9"/>
    </row>
    <row r="257" spans="10:10" ht="15.75" customHeight="1">
      <c r="J257" s="9"/>
    </row>
    <row r="258" spans="10:10" ht="15.75" customHeight="1">
      <c r="J258" s="9"/>
    </row>
    <row r="259" spans="10:10" ht="15.75" customHeight="1">
      <c r="J259" s="9"/>
    </row>
    <row r="260" spans="10:10" ht="15.75" customHeight="1">
      <c r="J260" s="9"/>
    </row>
    <row r="261" spans="10:10" ht="15.75" customHeight="1">
      <c r="J261" s="9"/>
    </row>
    <row r="262" spans="10:10" ht="15.75" customHeight="1">
      <c r="J262" s="9"/>
    </row>
    <row r="263" spans="10:10" ht="15.75" customHeight="1">
      <c r="J263" s="9"/>
    </row>
    <row r="264" spans="10:10" ht="15.75" customHeight="1">
      <c r="J264" s="9"/>
    </row>
    <row r="265" spans="10:10" ht="15.75" customHeight="1">
      <c r="J265" s="9"/>
    </row>
    <row r="266" spans="10:10" ht="15.75" customHeight="1">
      <c r="J266" s="9"/>
    </row>
    <row r="267" spans="10:10" ht="15.75" customHeight="1">
      <c r="J267" s="9"/>
    </row>
    <row r="268" spans="10:10" ht="15.75" customHeight="1">
      <c r="J268" s="9"/>
    </row>
    <row r="269" spans="10:10" ht="15.75" customHeight="1">
      <c r="J269" s="9"/>
    </row>
    <row r="270" spans="10:10" ht="15.75" customHeight="1">
      <c r="J270" s="9"/>
    </row>
    <row r="271" spans="10:10" ht="15.75" customHeight="1">
      <c r="J271" s="9"/>
    </row>
    <row r="272" spans="10:10" ht="15.75" customHeight="1">
      <c r="J272" s="9"/>
    </row>
    <row r="273" spans="10:10" ht="15.75" customHeight="1">
      <c r="J273" s="9"/>
    </row>
    <row r="274" spans="10:10" ht="15.75" customHeight="1">
      <c r="J274" s="9"/>
    </row>
    <row r="275" spans="10:10" ht="15.75" customHeight="1">
      <c r="J275" s="9"/>
    </row>
    <row r="276" spans="10:10" ht="15.75" customHeight="1">
      <c r="J276" s="9"/>
    </row>
    <row r="277" spans="10:10" ht="15.75" customHeight="1">
      <c r="J277" s="9"/>
    </row>
    <row r="278" spans="10:10" ht="15.75" customHeight="1">
      <c r="J278" s="9"/>
    </row>
    <row r="279" spans="10:10" ht="15.75" customHeight="1">
      <c r="J279" s="9"/>
    </row>
    <row r="280" spans="10:10" ht="15.75" customHeight="1">
      <c r="J280" s="9"/>
    </row>
    <row r="281" spans="10:10" ht="15.75" customHeight="1">
      <c r="J281" s="9"/>
    </row>
    <row r="282" spans="10:10" ht="15.75" customHeight="1">
      <c r="J282" s="9"/>
    </row>
    <row r="283" spans="10:10" ht="15.75" customHeight="1">
      <c r="J283" s="9"/>
    </row>
    <row r="284" spans="10:10" ht="15.75" customHeight="1">
      <c r="J284" s="9"/>
    </row>
    <row r="285" spans="10:10" ht="15.75" customHeight="1">
      <c r="J285" s="9"/>
    </row>
    <row r="286" spans="10:10" ht="15.75" customHeight="1">
      <c r="J286" s="9"/>
    </row>
    <row r="287" spans="10:10" ht="15.75" customHeight="1">
      <c r="J287" s="9"/>
    </row>
    <row r="288" spans="10:10" ht="15.75" customHeight="1">
      <c r="J288" s="9"/>
    </row>
    <row r="289" spans="10:10" ht="15.75" customHeight="1">
      <c r="J289" s="9"/>
    </row>
    <row r="290" spans="10:10" ht="15.75" customHeight="1">
      <c r="J290" s="9"/>
    </row>
    <row r="291" spans="10:10" ht="15.75" customHeight="1">
      <c r="J291" s="9"/>
    </row>
    <row r="292" spans="10:10" ht="15.75" customHeight="1">
      <c r="J292" s="9"/>
    </row>
    <row r="293" spans="10:10" ht="15.75" customHeight="1">
      <c r="J293" s="9"/>
    </row>
    <row r="294" spans="10:10" ht="15.75" customHeight="1">
      <c r="J294" s="9"/>
    </row>
    <row r="295" spans="10:10" ht="15.75" customHeight="1">
      <c r="J295" s="9"/>
    </row>
    <row r="296" spans="10:10" ht="15.75" customHeight="1">
      <c r="J296" s="9"/>
    </row>
    <row r="297" spans="10:10" ht="15.75" customHeight="1">
      <c r="J297" s="9"/>
    </row>
    <row r="298" spans="10:10" ht="15.75" customHeight="1">
      <c r="J298" s="9"/>
    </row>
    <row r="299" spans="10:10" ht="15.75" customHeight="1">
      <c r="J299" s="9"/>
    </row>
    <row r="300" spans="10:10" ht="15.75" customHeight="1">
      <c r="J300" s="9"/>
    </row>
    <row r="301" spans="10:10" ht="15.75" customHeight="1">
      <c r="J301" s="9"/>
    </row>
    <row r="302" spans="10:10" ht="15.75" customHeight="1">
      <c r="J302" s="9"/>
    </row>
    <row r="303" spans="10:10" ht="15.75" customHeight="1">
      <c r="J303" s="9"/>
    </row>
    <row r="304" spans="10:10" ht="15.75" customHeight="1">
      <c r="J304" s="9"/>
    </row>
    <row r="305" spans="10:10" ht="15.75" customHeight="1">
      <c r="J305" s="9"/>
    </row>
    <row r="306" spans="10:10" ht="15.75" customHeight="1">
      <c r="J306" s="9"/>
    </row>
    <row r="307" spans="10:10" ht="15.75" customHeight="1">
      <c r="J307" s="9"/>
    </row>
    <row r="308" spans="10:10" ht="15.75" customHeight="1">
      <c r="J308" s="9"/>
    </row>
    <row r="309" spans="10:10" ht="15.75" customHeight="1">
      <c r="J309" s="9"/>
    </row>
    <row r="310" spans="10:10" ht="15.75" customHeight="1">
      <c r="J310" s="9"/>
    </row>
    <row r="311" spans="10:10" ht="15.75" customHeight="1">
      <c r="J311" s="9"/>
    </row>
    <row r="312" spans="10:10" ht="15.75" customHeight="1">
      <c r="J312" s="9"/>
    </row>
    <row r="313" spans="10:10" ht="15.75" customHeight="1">
      <c r="J313" s="9"/>
    </row>
    <row r="314" spans="10:10" ht="15.75" customHeight="1">
      <c r="J314" s="9"/>
    </row>
    <row r="315" spans="10:10" ht="15.75" customHeight="1">
      <c r="J315" s="9"/>
    </row>
    <row r="316" spans="10:10" ht="15.75" customHeight="1">
      <c r="J316" s="9"/>
    </row>
    <row r="317" spans="10:10" ht="15.75" customHeight="1">
      <c r="J317" s="9"/>
    </row>
    <row r="318" spans="10:10" ht="15.75" customHeight="1">
      <c r="J318" s="9"/>
    </row>
    <row r="319" spans="10:10" ht="15.75" customHeight="1">
      <c r="J319" s="9"/>
    </row>
    <row r="320" spans="10:10" ht="15.75" customHeight="1">
      <c r="J320" s="9"/>
    </row>
    <row r="321" spans="10:10" ht="15.75" customHeight="1">
      <c r="J321" s="9"/>
    </row>
    <row r="322" spans="10:10" ht="15.75" customHeight="1">
      <c r="J322" s="9"/>
    </row>
    <row r="323" spans="10:10" ht="15.75" customHeight="1">
      <c r="J323" s="9"/>
    </row>
    <row r="324" spans="10:10" ht="15.75" customHeight="1">
      <c r="J324" s="9"/>
    </row>
    <row r="325" spans="10:10" ht="15.75" customHeight="1">
      <c r="J325" s="9"/>
    </row>
    <row r="326" spans="10:10" ht="15.75" customHeight="1">
      <c r="J326" s="9"/>
    </row>
    <row r="327" spans="10:10" ht="15.75" customHeight="1">
      <c r="J327" s="9"/>
    </row>
    <row r="328" spans="10:10" ht="15.75" customHeight="1">
      <c r="J328" s="9"/>
    </row>
    <row r="329" spans="10:10" ht="15.75" customHeight="1">
      <c r="J329" s="9"/>
    </row>
    <row r="330" spans="10:10" ht="15.75" customHeight="1">
      <c r="J330" s="9"/>
    </row>
    <row r="331" spans="10:10" ht="15.75" customHeight="1">
      <c r="J331" s="9"/>
    </row>
    <row r="332" spans="10:10" ht="15.75" customHeight="1">
      <c r="J332" s="9"/>
    </row>
    <row r="333" spans="10:10" ht="15.75" customHeight="1">
      <c r="J333" s="9"/>
    </row>
    <row r="334" spans="10:10" ht="15.75" customHeight="1">
      <c r="J334" s="9"/>
    </row>
    <row r="335" spans="10:10" ht="15.75" customHeight="1">
      <c r="J335" s="9"/>
    </row>
    <row r="336" spans="10:10" ht="15.75" customHeight="1">
      <c r="J336" s="9"/>
    </row>
    <row r="337" spans="10:10" ht="15.75" customHeight="1">
      <c r="J337" s="9"/>
    </row>
    <row r="338" spans="10:10" ht="15.75" customHeight="1">
      <c r="J338" s="9"/>
    </row>
    <row r="339" spans="10:10" ht="15.75" customHeight="1">
      <c r="J339" s="9"/>
    </row>
    <row r="340" spans="10:10" ht="15.75" customHeight="1">
      <c r="J340" s="9"/>
    </row>
    <row r="341" spans="10:10" ht="15.75" customHeight="1">
      <c r="J341" s="9"/>
    </row>
    <row r="342" spans="10:10" ht="15.75" customHeight="1">
      <c r="J342" s="9"/>
    </row>
    <row r="343" spans="10:10" ht="15.75" customHeight="1">
      <c r="J343" s="9"/>
    </row>
    <row r="344" spans="10:10" ht="15.75" customHeight="1">
      <c r="J344" s="9"/>
    </row>
    <row r="345" spans="10:10" ht="15.75" customHeight="1">
      <c r="J345" s="9"/>
    </row>
    <row r="346" spans="10:10" ht="15.75" customHeight="1">
      <c r="J346" s="9"/>
    </row>
    <row r="347" spans="10:10" ht="15.75" customHeight="1">
      <c r="J347" s="9"/>
    </row>
    <row r="348" spans="10:10" ht="15.75" customHeight="1">
      <c r="J348" s="9"/>
    </row>
    <row r="349" spans="10:10" ht="15.75" customHeight="1">
      <c r="J349" s="9"/>
    </row>
    <row r="350" spans="10:10" ht="15.75" customHeight="1">
      <c r="J350" s="9"/>
    </row>
    <row r="351" spans="10:10" ht="15.75" customHeight="1">
      <c r="J351" s="9"/>
    </row>
    <row r="352" spans="10:10" ht="15.75" customHeight="1">
      <c r="J352" s="9"/>
    </row>
    <row r="353" spans="10:10" ht="15.75" customHeight="1">
      <c r="J353" s="9"/>
    </row>
    <row r="354" spans="10:10" ht="15.75" customHeight="1">
      <c r="J354" s="9"/>
    </row>
    <row r="355" spans="10:10" ht="15.75" customHeight="1">
      <c r="J355" s="9"/>
    </row>
    <row r="356" spans="10:10" ht="15.75" customHeight="1">
      <c r="J356" s="9"/>
    </row>
    <row r="357" spans="10:10" ht="15.75" customHeight="1">
      <c r="J357" s="9"/>
    </row>
    <row r="358" spans="10:10" ht="15.75" customHeight="1">
      <c r="J358" s="9"/>
    </row>
    <row r="359" spans="10:10" ht="15.75" customHeight="1">
      <c r="J359" s="9"/>
    </row>
    <row r="360" spans="10:10" ht="15.75" customHeight="1">
      <c r="J360" s="9"/>
    </row>
    <row r="361" spans="10:10" ht="15.75" customHeight="1">
      <c r="J361" s="9"/>
    </row>
    <row r="362" spans="10:10" ht="15.75" customHeight="1">
      <c r="J362" s="9"/>
    </row>
    <row r="363" spans="10:10" ht="15.75" customHeight="1">
      <c r="J363" s="9"/>
    </row>
    <row r="364" spans="10:10" ht="15.75" customHeight="1">
      <c r="J364" s="9"/>
    </row>
    <row r="365" spans="10:10" ht="15.75" customHeight="1">
      <c r="J365" s="9"/>
    </row>
    <row r="366" spans="10:10" ht="15.75" customHeight="1">
      <c r="J366" s="9"/>
    </row>
    <row r="367" spans="10:10" ht="15.75" customHeight="1">
      <c r="J367" s="9"/>
    </row>
    <row r="368" spans="10:10" ht="15.75" customHeight="1">
      <c r="J368" s="9"/>
    </row>
    <row r="369" spans="10:10" ht="15.75" customHeight="1">
      <c r="J369" s="9"/>
    </row>
    <row r="370" spans="10:10" ht="15.75" customHeight="1">
      <c r="J370" s="9"/>
    </row>
    <row r="371" spans="10:10" ht="15.75" customHeight="1">
      <c r="J371" s="9"/>
    </row>
    <row r="372" spans="10:10" ht="15.75" customHeight="1">
      <c r="J372" s="9"/>
    </row>
    <row r="373" spans="10:10" ht="15.75" customHeight="1">
      <c r="J373" s="9"/>
    </row>
    <row r="374" spans="10:10" ht="15.75" customHeight="1">
      <c r="J374" s="9"/>
    </row>
    <row r="375" spans="10:10" ht="15.75" customHeight="1">
      <c r="J375" s="9"/>
    </row>
    <row r="376" spans="10:10" ht="15.75" customHeight="1">
      <c r="J376" s="9"/>
    </row>
    <row r="377" spans="10:10" ht="15.75" customHeight="1">
      <c r="J377" s="9"/>
    </row>
    <row r="378" spans="10:10" ht="15.75" customHeight="1">
      <c r="J378" s="9"/>
    </row>
    <row r="379" spans="10:10" ht="15.75" customHeight="1">
      <c r="J379" s="9"/>
    </row>
    <row r="380" spans="10:10" ht="15.75" customHeight="1">
      <c r="J380" s="9"/>
    </row>
    <row r="381" spans="10:10" ht="15.75" customHeight="1">
      <c r="J381" s="9"/>
    </row>
    <row r="382" spans="10:10" ht="15.75" customHeight="1">
      <c r="J382" s="9"/>
    </row>
    <row r="383" spans="10:10" ht="15.75" customHeight="1">
      <c r="J383" s="9"/>
    </row>
    <row r="384" spans="10:10" ht="15.75" customHeight="1">
      <c r="J384" s="9"/>
    </row>
    <row r="385" spans="10:10" ht="15.75" customHeight="1">
      <c r="J385" s="9"/>
    </row>
    <row r="386" spans="10:10" ht="15.75" customHeight="1">
      <c r="J386" s="9"/>
    </row>
    <row r="387" spans="10:10" ht="15.75" customHeight="1">
      <c r="J387" s="9"/>
    </row>
    <row r="388" spans="10:10" ht="15.75" customHeight="1">
      <c r="J388" s="9"/>
    </row>
    <row r="389" spans="10:10" ht="15.75" customHeight="1">
      <c r="J389" s="9"/>
    </row>
    <row r="390" spans="10:10" ht="15.75" customHeight="1">
      <c r="J390" s="9"/>
    </row>
    <row r="391" spans="10:10" ht="15.75" customHeight="1">
      <c r="J391" s="9"/>
    </row>
    <row r="392" spans="10:10" ht="15.75" customHeight="1">
      <c r="J392" s="9"/>
    </row>
    <row r="393" spans="10:10" ht="15.75" customHeight="1">
      <c r="J393" s="9"/>
    </row>
    <row r="394" spans="10:10" ht="15.75" customHeight="1">
      <c r="J394" s="9"/>
    </row>
    <row r="395" spans="10:10" ht="15.75" customHeight="1">
      <c r="J395" s="9"/>
    </row>
    <row r="396" spans="10:10" ht="15.75" customHeight="1">
      <c r="J396" s="9"/>
    </row>
    <row r="397" spans="10:10" ht="15.75" customHeight="1">
      <c r="J397" s="9"/>
    </row>
    <row r="398" spans="10:10" ht="15.75" customHeight="1">
      <c r="J398" s="9"/>
    </row>
    <row r="399" spans="10:10" ht="15.75" customHeight="1">
      <c r="J399" s="9"/>
    </row>
    <row r="400" spans="10:10" ht="15.75" customHeight="1">
      <c r="J400" s="9"/>
    </row>
    <row r="401" spans="10:10" ht="15.75" customHeight="1">
      <c r="J401" s="9"/>
    </row>
    <row r="402" spans="10:10" ht="15.75" customHeight="1">
      <c r="J402" s="9"/>
    </row>
    <row r="403" spans="10:10" ht="15.75" customHeight="1">
      <c r="J403" s="9"/>
    </row>
    <row r="404" spans="10:10" ht="15.75" customHeight="1">
      <c r="J404" s="9"/>
    </row>
    <row r="405" spans="10:10" ht="15.75" customHeight="1">
      <c r="J405" s="9"/>
    </row>
    <row r="406" spans="10:10" ht="15.75" customHeight="1">
      <c r="J406" s="9"/>
    </row>
    <row r="407" spans="10:10" ht="15.75" customHeight="1">
      <c r="J407" s="9"/>
    </row>
    <row r="408" spans="10:10" ht="15.75" customHeight="1">
      <c r="J408" s="9"/>
    </row>
    <row r="409" spans="10:10" ht="15.75" customHeight="1">
      <c r="J409" s="9"/>
    </row>
    <row r="410" spans="10:10" ht="15.75" customHeight="1">
      <c r="J410" s="9"/>
    </row>
    <row r="411" spans="10:10" ht="15.75" customHeight="1">
      <c r="J411" s="9"/>
    </row>
    <row r="412" spans="10:10" ht="15.75" customHeight="1">
      <c r="J412" s="9"/>
    </row>
    <row r="413" spans="10:10" ht="15.75" customHeight="1">
      <c r="J413" s="9"/>
    </row>
    <row r="414" spans="10:10" ht="15.75" customHeight="1">
      <c r="J414" s="9"/>
    </row>
    <row r="415" spans="10:10" ht="15.75" customHeight="1">
      <c r="J415" s="9"/>
    </row>
    <row r="416" spans="10:10" ht="15.75" customHeight="1">
      <c r="J416" s="9"/>
    </row>
    <row r="417" spans="10:10" ht="15.75" customHeight="1">
      <c r="J417" s="9"/>
    </row>
    <row r="418" spans="10:10" ht="15.75" customHeight="1">
      <c r="J418" s="9"/>
    </row>
    <row r="419" spans="10:10" ht="15.75" customHeight="1">
      <c r="J419" s="9"/>
    </row>
    <row r="420" spans="10:10" ht="15.75" customHeight="1">
      <c r="J420" s="9"/>
    </row>
    <row r="421" spans="10:10" ht="15.75" customHeight="1">
      <c r="J421" s="9"/>
    </row>
    <row r="422" spans="10:10" ht="15.75" customHeight="1">
      <c r="J422" s="9"/>
    </row>
    <row r="423" spans="10:10" ht="15.75" customHeight="1">
      <c r="J423" s="9"/>
    </row>
    <row r="424" spans="10:10" ht="15.75" customHeight="1">
      <c r="J424" s="9"/>
    </row>
    <row r="425" spans="10:10" ht="15.75" customHeight="1">
      <c r="J425" s="9"/>
    </row>
    <row r="426" spans="10:10" ht="15.75" customHeight="1">
      <c r="J426" s="9"/>
    </row>
    <row r="427" spans="10:10" ht="15.75" customHeight="1">
      <c r="J427" s="9"/>
    </row>
    <row r="428" spans="10:10" ht="15.75" customHeight="1">
      <c r="J428" s="9"/>
    </row>
    <row r="429" spans="10:10" ht="15.75" customHeight="1">
      <c r="J429" s="9"/>
    </row>
    <row r="430" spans="10:10" ht="15.75" customHeight="1">
      <c r="J430" s="9"/>
    </row>
    <row r="431" spans="10:10" ht="15.75" customHeight="1">
      <c r="J431" s="9"/>
    </row>
    <row r="432" spans="10:10" ht="15.75" customHeight="1">
      <c r="J432" s="9"/>
    </row>
    <row r="433" spans="10:10" ht="15.75" customHeight="1">
      <c r="J433" s="9"/>
    </row>
    <row r="434" spans="10:10" ht="15.75" customHeight="1">
      <c r="J434" s="9"/>
    </row>
    <row r="435" spans="10:10" ht="15.75" customHeight="1">
      <c r="J435" s="9"/>
    </row>
    <row r="436" spans="10:10" ht="15.75" customHeight="1">
      <c r="J436" s="9"/>
    </row>
    <row r="437" spans="10:10" ht="15.75" customHeight="1">
      <c r="J437" s="9"/>
    </row>
    <row r="438" spans="10:10" ht="15.75" customHeight="1">
      <c r="J438" s="9"/>
    </row>
    <row r="439" spans="10:10" ht="15.75" customHeight="1">
      <c r="J439" s="9"/>
    </row>
    <row r="440" spans="10:10" ht="15.75" customHeight="1">
      <c r="J440" s="9"/>
    </row>
    <row r="441" spans="10:10" ht="15.75" customHeight="1">
      <c r="J441" s="9"/>
    </row>
    <row r="442" spans="10:10" ht="15.75" customHeight="1">
      <c r="J442" s="9"/>
    </row>
    <row r="443" spans="10:10" ht="15.75" customHeight="1">
      <c r="J443" s="9"/>
    </row>
    <row r="444" spans="10:10" ht="15.75" customHeight="1">
      <c r="J444" s="9"/>
    </row>
    <row r="445" spans="10:10" ht="15.75" customHeight="1">
      <c r="J445" s="9"/>
    </row>
    <row r="446" spans="10:10" ht="15.75" customHeight="1">
      <c r="J446" s="9"/>
    </row>
    <row r="447" spans="10:10" ht="15.75" customHeight="1">
      <c r="J447" s="9"/>
    </row>
    <row r="448" spans="10:10" ht="15.75" customHeight="1">
      <c r="J448" s="9"/>
    </row>
    <row r="449" spans="10:10" ht="15.75" customHeight="1">
      <c r="J449" s="9"/>
    </row>
    <row r="450" spans="10:10" ht="15.75" customHeight="1">
      <c r="J450" s="9"/>
    </row>
    <row r="451" spans="10:10" ht="15.75" customHeight="1">
      <c r="J451" s="9"/>
    </row>
    <row r="452" spans="10:10" ht="15.75" customHeight="1">
      <c r="J452" s="9"/>
    </row>
    <row r="453" spans="10:10" ht="15.75" customHeight="1">
      <c r="J453" s="9"/>
    </row>
    <row r="454" spans="10:10" ht="15.75" customHeight="1">
      <c r="J454" s="9"/>
    </row>
    <row r="455" spans="10:10" ht="15.75" customHeight="1">
      <c r="J455" s="9"/>
    </row>
    <row r="456" spans="10:10" ht="15.75" customHeight="1">
      <c r="J456" s="9"/>
    </row>
    <row r="457" spans="10:10" ht="15.75" customHeight="1">
      <c r="J457" s="9"/>
    </row>
    <row r="458" spans="10:10" ht="15.75" customHeight="1">
      <c r="J458" s="9"/>
    </row>
    <row r="459" spans="10:10" ht="15.75" customHeight="1">
      <c r="J459" s="9"/>
    </row>
    <row r="460" spans="10:10" ht="15.75" customHeight="1">
      <c r="J460" s="9"/>
    </row>
    <row r="461" spans="10:10" ht="15.75" customHeight="1">
      <c r="J461" s="9"/>
    </row>
    <row r="462" spans="10:10" ht="15.75" customHeight="1">
      <c r="J462" s="9"/>
    </row>
    <row r="463" spans="10:10" ht="15.75" customHeight="1">
      <c r="J463" s="9"/>
    </row>
    <row r="464" spans="10:10" ht="15.75" customHeight="1">
      <c r="J464" s="9"/>
    </row>
    <row r="465" spans="10:10" ht="15.75" customHeight="1">
      <c r="J465" s="9"/>
    </row>
    <row r="466" spans="10:10" ht="15.75" customHeight="1">
      <c r="J466" s="9"/>
    </row>
    <row r="467" spans="10:10" ht="15.75" customHeight="1">
      <c r="J467" s="9"/>
    </row>
    <row r="468" spans="10:10" ht="15.75" customHeight="1">
      <c r="J468" s="9"/>
    </row>
    <row r="469" spans="10:10" ht="15.75" customHeight="1">
      <c r="J469" s="9"/>
    </row>
    <row r="470" spans="10:10" ht="15.75" customHeight="1">
      <c r="J470" s="9"/>
    </row>
    <row r="471" spans="10:10" ht="15.75" customHeight="1">
      <c r="J471" s="9"/>
    </row>
    <row r="472" spans="10:10" ht="15.75" customHeight="1">
      <c r="J472" s="9"/>
    </row>
    <row r="473" spans="10:10" ht="15.75" customHeight="1">
      <c r="J473" s="9"/>
    </row>
    <row r="474" spans="10:10" ht="15.75" customHeight="1">
      <c r="J474" s="9"/>
    </row>
    <row r="475" spans="10:10" ht="15.75" customHeight="1">
      <c r="J475" s="9"/>
    </row>
    <row r="476" spans="10:10" ht="15.75" customHeight="1">
      <c r="J476" s="9"/>
    </row>
    <row r="477" spans="10:10" ht="15.75" customHeight="1">
      <c r="J477" s="9"/>
    </row>
    <row r="478" spans="10:10" ht="15.75" customHeight="1">
      <c r="J478" s="9"/>
    </row>
    <row r="479" spans="10:10" ht="15.75" customHeight="1">
      <c r="J479" s="9"/>
    </row>
    <row r="480" spans="10:10" ht="15.75" customHeight="1">
      <c r="J480" s="9"/>
    </row>
    <row r="481" spans="10:10" ht="15.75" customHeight="1">
      <c r="J481" s="9"/>
    </row>
    <row r="482" spans="10:10" ht="15.75" customHeight="1">
      <c r="J482" s="9"/>
    </row>
    <row r="483" spans="10:10" ht="15.75" customHeight="1">
      <c r="J483" s="9"/>
    </row>
    <row r="484" spans="10:10" ht="15.75" customHeight="1">
      <c r="J484" s="9"/>
    </row>
    <row r="485" spans="10:10" ht="15.75" customHeight="1">
      <c r="J485" s="9"/>
    </row>
    <row r="486" spans="10:10" ht="15.75" customHeight="1">
      <c r="J486" s="9"/>
    </row>
    <row r="487" spans="10:10" ht="15.75" customHeight="1">
      <c r="J487" s="9"/>
    </row>
    <row r="488" spans="10:10" ht="15.75" customHeight="1">
      <c r="J488" s="9"/>
    </row>
    <row r="489" spans="10:10" ht="15.75" customHeight="1">
      <c r="J489" s="9"/>
    </row>
    <row r="490" spans="10:10" ht="15.75" customHeight="1">
      <c r="J490" s="9"/>
    </row>
    <row r="491" spans="10:10" ht="15.75" customHeight="1">
      <c r="J491" s="9"/>
    </row>
    <row r="492" spans="10:10" ht="15.75" customHeight="1">
      <c r="J492" s="9"/>
    </row>
    <row r="493" spans="10:10" ht="15.75" customHeight="1">
      <c r="J493" s="9"/>
    </row>
    <row r="494" spans="10:10" ht="15.75" customHeight="1">
      <c r="J494" s="9"/>
    </row>
    <row r="495" spans="10:10" ht="15.75" customHeight="1">
      <c r="J495" s="9"/>
    </row>
    <row r="496" spans="10:10" ht="15.75" customHeight="1">
      <c r="J496" s="9"/>
    </row>
    <row r="497" spans="10:10" ht="15.75" customHeight="1">
      <c r="J497" s="9"/>
    </row>
    <row r="498" spans="10:10" ht="15.75" customHeight="1">
      <c r="J498" s="9"/>
    </row>
    <row r="499" spans="10:10" ht="15.75" customHeight="1">
      <c r="J499" s="9"/>
    </row>
    <row r="500" spans="10:10" ht="15.75" customHeight="1">
      <c r="J500" s="9"/>
    </row>
    <row r="501" spans="10:10" ht="15.75" customHeight="1">
      <c r="J501" s="9"/>
    </row>
    <row r="502" spans="10:10" ht="15.75" customHeight="1">
      <c r="J502" s="9"/>
    </row>
    <row r="503" spans="10:10" ht="15.75" customHeight="1">
      <c r="J503" s="9"/>
    </row>
    <row r="504" spans="10:10" ht="15.75" customHeight="1">
      <c r="J504" s="9"/>
    </row>
    <row r="505" spans="10:10" ht="15.75" customHeight="1">
      <c r="J505" s="9"/>
    </row>
    <row r="506" spans="10:10" ht="15.75" customHeight="1">
      <c r="J506" s="9"/>
    </row>
    <row r="507" spans="10:10" ht="15.75" customHeight="1">
      <c r="J507" s="9"/>
    </row>
    <row r="508" spans="10:10" ht="15.75" customHeight="1">
      <c r="J508" s="9"/>
    </row>
    <row r="509" spans="10:10" ht="15.75" customHeight="1">
      <c r="J509" s="9"/>
    </row>
    <row r="510" spans="10:10" ht="15.75" customHeight="1">
      <c r="J510" s="9"/>
    </row>
    <row r="511" spans="10:10" ht="15.75" customHeight="1">
      <c r="J511" s="9"/>
    </row>
    <row r="512" spans="10:10" ht="15.75" customHeight="1">
      <c r="J512" s="9"/>
    </row>
    <row r="513" spans="10:10" ht="15.75" customHeight="1">
      <c r="J513" s="9"/>
    </row>
    <row r="514" spans="10:10" ht="15.75" customHeight="1">
      <c r="J514" s="9"/>
    </row>
    <row r="515" spans="10:10" ht="15.75" customHeight="1">
      <c r="J515" s="9"/>
    </row>
    <row r="516" spans="10:10" ht="15.75" customHeight="1">
      <c r="J516" s="9"/>
    </row>
    <row r="517" spans="10:10" ht="15.75" customHeight="1">
      <c r="J517" s="9"/>
    </row>
    <row r="518" spans="10:10" ht="15.75" customHeight="1">
      <c r="J518" s="9"/>
    </row>
    <row r="519" spans="10:10" ht="15.75" customHeight="1">
      <c r="J519" s="9"/>
    </row>
    <row r="520" spans="10:10" ht="15.75" customHeight="1">
      <c r="J520" s="9"/>
    </row>
    <row r="521" spans="10:10" ht="15.75" customHeight="1">
      <c r="J521" s="9"/>
    </row>
    <row r="522" spans="10:10" ht="15.75" customHeight="1">
      <c r="J522" s="9"/>
    </row>
    <row r="523" spans="10:10" ht="15.75" customHeight="1">
      <c r="J523" s="9"/>
    </row>
    <row r="524" spans="10:10" ht="15.75" customHeight="1">
      <c r="J524" s="9"/>
    </row>
    <row r="525" spans="10:10" ht="15.75" customHeight="1">
      <c r="J525" s="9"/>
    </row>
    <row r="526" spans="10:10" ht="15.75" customHeight="1">
      <c r="J526" s="9"/>
    </row>
    <row r="527" spans="10:10" ht="15.75" customHeight="1">
      <c r="J527" s="9"/>
    </row>
    <row r="528" spans="10:10" ht="15.75" customHeight="1">
      <c r="J528" s="9"/>
    </row>
    <row r="529" spans="10:10" ht="15.75" customHeight="1">
      <c r="J529" s="9"/>
    </row>
    <row r="530" spans="10:10" ht="15.75" customHeight="1">
      <c r="J530" s="9"/>
    </row>
    <row r="531" spans="10:10" ht="15.75" customHeight="1">
      <c r="J531" s="9"/>
    </row>
    <row r="532" spans="10:10" ht="15.75" customHeight="1">
      <c r="J532" s="9"/>
    </row>
    <row r="533" spans="10:10" ht="15.75" customHeight="1">
      <c r="J533" s="9"/>
    </row>
    <row r="534" spans="10:10" ht="15.75" customHeight="1">
      <c r="J534" s="9"/>
    </row>
    <row r="535" spans="10:10" ht="15.75" customHeight="1">
      <c r="J535" s="9"/>
    </row>
    <row r="536" spans="10:10" ht="15.75" customHeight="1">
      <c r="J536" s="9"/>
    </row>
    <row r="537" spans="10:10" ht="15.75" customHeight="1">
      <c r="J537" s="9"/>
    </row>
    <row r="538" spans="10:10" ht="15.75" customHeight="1">
      <c r="J538" s="9"/>
    </row>
    <row r="539" spans="10:10" ht="15.75" customHeight="1">
      <c r="J539" s="9"/>
    </row>
    <row r="540" spans="10:10" ht="15.75" customHeight="1">
      <c r="J540" s="9"/>
    </row>
    <row r="541" spans="10:10" ht="15.75" customHeight="1">
      <c r="J541" s="9"/>
    </row>
    <row r="542" spans="10:10" ht="15.75" customHeight="1">
      <c r="J542" s="9"/>
    </row>
    <row r="543" spans="10:10" ht="15.75" customHeight="1">
      <c r="J543" s="9"/>
    </row>
    <row r="544" spans="10:10" ht="15.75" customHeight="1">
      <c r="J544" s="9"/>
    </row>
    <row r="545" spans="10:10" ht="15.75" customHeight="1">
      <c r="J545" s="9"/>
    </row>
    <row r="546" spans="10:10" ht="15.75" customHeight="1">
      <c r="J546" s="9"/>
    </row>
    <row r="547" spans="10:10" ht="15.75" customHeight="1">
      <c r="J547" s="9"/>
    </row>
    <row r="548" spans="10:10" ht="15.75" customHeight="1">
      <c r="J548" s="9"/>
    </row>
    <row r="549" spans="10:10" ht="15.75" customHeight="1">
      <c r="J549" s="9"/>
    </row>
    <row r="550" spans="10:10" ht="15.75" customHeight="1">
      <c r="J550" s="9"/>
    </row>
    <row r="551" spans="10:10" ht="15.75" customHeight="1">
      <c r="J551" s="9"/>
    </row>
    <row r="552" spans="10:10" ht="15.75" customHeight="1">
      <c r="J552" s="9"/>
    </row>
    <row r="553" spans="10:10" ht="15.75" customHeight="1">
      <c r="J553" s="9"/>
    </row>
    <row r="554" spans="10:10" ht="15.75" customHeight="1">
      <c r="J554" s="9"/>
    </row>
    <row r="555" spans="10:10" ht="15.75" customHeight="1">
      <c r="J555" s="9"/>
    </row>
    <row r="556" spans="10:10" ht="15.75" customHeight="1">
      <c r="J556" s="9"/>
    </row>
    <row r="557" spans="10:10" ht="15.75" customHeight="1">
      <c r="J557" s="9"/>
    </row>
    <row r="558" spans="10:10" ht="15.75" customHeight="1">
      <c r="J558" s="9"/>
    </row>
    <row r="559" spans="10:10" ht="15.75" customHeight="1">
      <c r="J559" s="9"/>
    </row>
    <row r="560" spans="10:10" ht="15.75" customHeight="1">
      <c r="J560" s="9"/>
    </row>
    <row r="561" spans="10:10" ht="15.75" customHeight="1">
      <c r="J561" s="9"/>
    </row>
    <row r="562" spans="10:10" ht="15.75" customHeight="1">
      <c r="J562" s="9"/>
    </row>
    <row r="563" spans="10:10" ht="15.75" customHeight="1">
      <c r="J563" s="9"/>
    </row>
    <row r="564" spans="10:10" ht="15.75" customHeight="1">
      <c r="J564" s="9"/>
    </row>
    <row r="565" spans="10:10" ht="15.75" customHeight="1">
      <c r="J565" s="9"/>
    </row>
    <row r="566" spans="10:10" ht="15.75" customHeight="1">
      <c r="J566" s="9"/>
    </row>
    <row r="567" spans="10:10" ht="15.75" customHeight="1">
      <c r="J567" s="9"/>
    </row>
    <row r="568" spans="10:10" ht="15.75" customHeight="1">
      <c r="J568" s="9"/>
    </row>
    <row r="569" spans="10:10" ht="15.75" customHeight="1">
      <c r="J569" s="9"/>
    </row>
    <row r="570" spans="10:10" ht="15.75" customHeight="1">
      <c r="J570" s="9"/>
    </row>
    <row r="571" spans="10:10" ht="15.75" customHeight="1">
      <c r="J571" s="9"/>
    </row>
    <row r="572" spans="10:10" ht="15.75" customHeight="1">
      <c r="J572" s="9"/>
    </row>
    <row r="573" spans="10:10" ht="15.75" customHeight="1">
      <c r="J573" s="9"/>
    </row>
    <row r="574" spans="10:10" ht="15.75" customHeight="1">
      <c r="J574" s="9"/>
    </row>
    <row r="575" spans="10:10" ht="15.75" customHeight="1">
      <c r="J575" s="9"/>
    </row>
    <row r="576" spans="10:10" ht="15.75" customHeight="1">
      <c r="J576" s="9"/>
    </row>
    <row r="577" spans="10:10" ht="15.75" customHeight="1">
      <c r="J577" s="9"/>
    </row>
    <row r="578" spans="10:10" ht="15.75" customHeight="1">
      <c r="J578" s="9"/>
    </row>
    <row r="579" spans="10:10" ht="15.75" customHeight="1">
      <c r="J579" s="9"/>
    </row>
    <row r="580" spans="10:10" ht="15.75" customHeight="1">
      <c r="J580" s="9"/>
    </row>
    <row r="581" spans="10:10" ht="15.75" customHeight="1">
      <c r="J581" s="9"/>
    </row>
    <row r="582" spans="10:10" ht="15.75" customHeight="1">
      <c r="J582" s="9"/>
    </row>
    <row r="583" spans="10:10" ht="15.75" customHeight="1">
      <c r="J583" s="9"/>
    </row>
    <row r="584" spans="10:10" ht="15.75" customHeight="1">
      <c r="J584" s="9"/>
    </row>
    <row r="585" spans="10:10" ht="15.75" customHeight="1">
      <c r="J585" s="9"/>
    </row>
    <row r="586" spans="10:10" ht="15.75" customHeight="1">
      <c r="J586" s="9"/>
    </row>
    <row r="587" spans="10:10" ht="15.75" customHeight="1">
      <c r="J587" s="9"/>
    </row>
    <row r="588" spans="10:10" ht="15.75" customHeight="1">
      <c r="J588" s="9"/>
    </row>
    <row r="589" spans="10:10" ht="15.75" customHeight="1">
      <c r="J589" s="9"/>
    </row>
    <row r="590" spans="10:10" ht="15.75" customHeight="1">
      <c r="J590" s="9"/>
    </row>
    <row r="591" spans="10:10" ht="15.75" customHeight="1">
      <c r="J591" s="9"/>
    </row>
    <row r="592" spans="10:10" ht="15.75" customHeight="1">
      <c r="J592" s="9"/>
    </row>
    <row r="593" spans="10:10" ht="15.75" customHeight="1">
      <c r="J593" s="9"/>
    </row>
    <row r="594" spans="10:10" ht="15.75" customHeight="1">
      <c r="J594" s="9"/>
    </row>
    <row r="595" spans="10:10" ht="15.75" customHeight="1">
      <c r="J595" s="9"/>
    </row>
    <row r="596" spans="10:10" ht="15.75" customHeight="1">
      <c r="J596" s="9"/>
    </row>
    <row r="597" spans="10:10" ht="15.75" customHeight="1">
      <c r="J597" s="9"/>
    </row>
    <row r="598" spans="10:10" ht="15.75" customHeight="1">
      <c r="J598" s="9"/>
    </row>
    <row r="599" spans="10:10" ht="15.75" customHeight="1">
      <c r="J599" s="9"/>
    </row>
    <row r="600" spans="10:10" ht="15.75" customHeight="1">
      <c r="J600" s="9"/>
    </row>
    <row r="601" spans="10:10" ht="15.75" customHeight="1">
      <c r="J601" s="9"/>
    </row>
    <row r="602" spans="10:10" ht="15.75" customHeight="1">
      <c r="J602" s="9"/>
    </row>
    <row r="603" spans="10:10" ht="15.75" customHeight="1">
      <c r="J603" s="9"/>
    </row>
    <row r="604" spans="10:10" ht="15.75" customHeight="1">
      <c r="J604" s="9"/>
    </row>
    <row r="605" spans="10:10" ht="15.75" customHeight="1">
      <c r="J605" s="9"/>
    </row>
    <row r="606" spans="10:10" ht="15.75" customHeight="1">
      <c r="J606" s="9"/>
    </row>
    <row r="607" spans="10:10" ht="15.75" customHeight="1">
      <c r="J607" s="9"/>
    </row>
    <row r="608" spans="10:10" ht="15.75" customHeight="1">
      <c r="J608" s="9"/>
    </row>
    <row r="609" spans="10:10" ht="15.75" customHeight="1">
      <c r="J609" s="9"/>
    </row>
    <row r="610" spans="10:10" ht="15.75" customHeight="1">
      <c r="J610" s="9"/>
    </row>
    <row r="611" spans="10:10" ht="15.75" customHeight="1">
      <c r="J611" s="9"/>
    </row>
    <row r="612" spans="10:10" ht="15.75" customHeight="1">
      <c r="J612" s="9"/>
    </row>
    <row r="613" spans="10:10" ht="15.75" customHeight="1">
      <c r="J613" s="9"/>
    </row>
    <row r="614" spans="10:10" ht="15.75" customHeight="1">
      <c r="J614" s="9"/>
    </row>
    <row r="615" spans="10:10" ht="15.75" customHeight="1">
      <c r="J615" s="9"/>
    </row>
    <row r="616" spans="10:10" ht="15.75" customHeight="1">
      <c r="J616" s="9"/>
    </row>
    <row r="617" spans="10:10" ht="15.75" customHeight="1">
      <c r="J617" s="9"/>
    </row>
    <row r="618" spans="10:10" ht="15.75" customHeight="1">
      <c r="J618" s="9"/>
    </row>
    <row r="619" spans="10:10" ht="15.75" customHeight="1">
      <c r="J619" s="9"/>
    </row>
    <row r="620" spans="10:10" ht="15.75" customHeight="1">
      <c r="J620" s="9"/>
    </row>
    <row r="621" spans="10:10" ht="15.75" customHeight="1">
      <c r="J621" s="9"/>
    </row>
    <row r="622" spans="10:10" ht="15.75" customHeight="1">
      <c r="J622" s="9"/>
    </row>
    <row r="623" spans="10:10" ht="15.75" customHeight="1">
      <c r="J623" s="9"/>
    </row>
    <row r="624" spans="10:10" ht="15.75" customHeight="1">
      <c r="J624" s="9"/>
    </row>
    <row r="625" spans="10:10" ht="15.75" customHeight="1">
      <c r="J625" s="9"/>
    </row>
    <row r="626" spans="10:10" ht="15.75" customHeight="1">
      <c r="J626" s="9"/>
    </row>
    <row r="627" spans="10:10" ht="15.75" customHeight="1">
      <c r="J627" s="9"/>
    </row>
    <row r="628" spans="10:10" ht="15.75" customHeight="1">
      <c r="J628" s="9"/>
    </row>
    <row r="629" spans="10:10" ht="15.75" customHeight="1">
      <c r="J629" s="9"/>
    </row>
    <row r="630" spans="10:10" ht="15.75" customHeight="1">
      <c r="J630" s="9"/>
    </row>
    <row r="631" spans="10:10" ht="15.75" customHeight="1">
      <c r="J631" s="9"/>
    </row>
    <row r="632" spans="10:10" ht="15.75" customHeight="1">
      <c r="J632" s="9"/>
    </row>
    <row r="633" spans="10:10" ht="15.75" customHeight="1">
      <c r="J633" s="9"/>
    </row>
    <row r="634" spans="10:10" ht="15.75" customHeight="1">
      <c r="J634" s="9"/>
    </row>
    <row r="635" spans="10:10" ht="15.75" customHeight="1">
      <c r="J635" s="9"/>
    </row>
    <row r="636" spans="10:10" ht="15.75" customHeight="1">
      <c r="J636" s="9"/>
    </row>
    <row r="637" spans="10:10" ht="15.75" customHeight="1">
      <c r="J637" s="9"/>
    </row>
    <row r="638" spans="10:10" ht="15.75" customHeight="1">
      <c r="J638" s="9"/>
    </row>
    <row r="639" spans="10:10" ht="15.75" customHeight="1">
      <c r="J639" s="9"/>
    </row>
    <row r="640" spans="10:10" ht="15.75" customHeight="1">
      <c r="J640" s="9"/>
    </row>
    <row r="641" spans="10:10" ht="15.75" customHeight="1">
      <c r="J641" s="9"/>
    </row>
    <row r="642" spans="10:10" ht="15.75" customHeight="1">
      <c r="J642" s="9"/>
    </row>
    <row r="643" spans="10:10" ht="15.75" customHeight="1">
      <c r="J643" s="9"/>
    </row>
    <row r="644" spans="10:10" ht="15.75" customHeight="1">
      <c r="J644" s="9"/>
    </row>
    <row r="645" spans="10:10" ht="15.75" customHeight="1">
      <c r="J645" s="9"/>
    </row>
    <row r="646" spans="10:10" ht="15.75" customHeight="1">
      <c r="J646" s="9"/>
    </row>
    <row r="647" spans="10:10" ht="15.75" customHeight="1">
      <c r="J647" s="9"/>
    </row>
    <row r="648" spans="10:10" ht="15.75" customHeight="1">
      <c r="J648" s="9"/>
    </row>
    <row r="649" spans="10:10" ht="15.75" customHeight="1">
      <c r="J649" s="9"/>
    </row>
    <row r="650" spans="10:10" ht="15.75" customHeight="1">
      <c r="J650" s="9"/>
    </row>
    <row r="651" spans="10:10" ht="15.75" customHeight="1">
      <c r="J651" s="9"/>
    </row>
    <row r="652" spans="10:10" ht="15.75" customHeight="1">
      <c r="J652" s="9"/>
    </row>
    <row r="653" spans="10:10" ht="15.75" customHeight="1">
      <c r="J653" s="9"/>
    </row>
    <row r="654" spans="10:10" ht="15.75" customHeight="1">
      <c r="J654" s="9"/>
    </row>
    <row r="655" spans="10:10" ht="15.75" customHeight="1">
      <c r="J655" s="9"/>
    </row>
    <row r="656" spans="10:10" ht="15.75" customHeight="1">
      <c r="J656" s="9"/>
    </row>
    <row r="657" spans="10:10" ht="15.75" customHeight="1">
      <c r="J657" s="9"/>
    </row>
    <row r="658" spans="10:10" ht="15.75" customHeight="1">
      <c r="J658" s="9"/>
    </row>
    <row r="659" spans="10:10" ht="15.75" customHeight="1">
      <c r="J659" s="9"/>
    </row>
    <row r="660" spans="10:10" ht="15.75" customHeight="1">
      <c r="J660" s="9"/>
    </row>
    <row r="661" spans="10:10" ht="15.75" customHeight="1">
      <c r="J661" s="9"/>
    </row>
    <row r="662" spans="10:10" ht="15.75" customHeight="1">
      <c r="J662" s="9"/>
    </row>
    <row r="663" spans="10:10" ht="15.75" customHeight="1">
      <c r="J663" s="9"/>
    </row>
    <row r="664" spans="10:10" ht="15.75" customHeight="1">
      <c r="J664" s="9"/>
    </row>
    <row r="665" spans="10:10" ht="15.75" customHeight="1">
      <c r="J665" s="9"/>
    </row>
    <row r="666" spans="10:10" ht="15.75" customHeight="1">
      <c r="J666" s="9"/>
    </row>
    <row r="667" spans="10:10" ht="15.75" customHeight="1">
      <c r="J667" s="9"/>
    </row>
    <row r="668" spans="10:10" ht="15.75" customHeight="1">
      <c r="J668" s="9"/>
    </row>
    <row r="669" spans="10:10" ht="15.75" customHeight="1">
      <c r="J669" s="9"/>
    </row>
    <row r="670" spans="10:10" ht="15.75" customHeight="1">
      <c r="J670" s="9"/>
    </row>
    <row r="671" spans="10:10" ht="15.75" customHeight="1">
      <c r="J671" s="9"/>
    </row>
    <row r="672" spans="10:10" ht="15.75" customHeight="1">
      <c r="J672" s="9"/>
    </row>
    <row r="673" spans="10:10" ht="15.75" customHeight="1">
      <c r="J673" s="9"/>
    </row>
    <row r="674" spans="10:10" ht="15.75" customHeight="1">
      <c r="J674" s="9"/>
    </row>
    <row r="675" spans="10:10" ht="15.75" customHeight="1">
      <c r="J675" s="9"/>
    </row>
    <row r="676" spans="10:10" ht="15.75" customHeight="1">
      <c r="J676" s="9"/>
    </row>
    <row r="677" spans="10:10" ht="15.75" customHeight="1">
      <c r="J677" s="9"/>
    </row>
    <row r="678" spans="10:10" ht="15.75" customHeight="1">
      <c r="J678" s="9"/>
    </row>
    <row r="679" spans="10:10" ht="15.75" customHeight="1">
      <c r="J679" s="9"/>
    </row>
    <row r="680" spans="10:10" ht="15.75" customHeight="1">
      <c r="J680" s="9"/>
    </row>
    <row r="681" spans="10:10" ht="15.75" customHeight="1">
      <c r="J681" s="9"/>
    </row>
    <row r="682" spans="10:10" ht="15.75" customHeight="1">
      <c r="J682" s="9"/>
    </row>
    <row r="683" spans="10:10" ht="15.75" customHeight="1">
      <c r="J683" s="9"/>
    </row>
    <row r="684" spans="10:10" ht="15.75" customHeight="1">
      <c r="J684" s="9"/>
    </row>
    <row r="685" spans="10:10" ht="15.75" customHeight="1">
      <c r="J685" s="9"/>
    </row>
    <row r="686" spans="10:10" ht="15.75" customHeight="1">
      <c r="J686" s="9"/>
    </row>
    <row r="687" spans="10:10" ht="15.75" customHeight="1">
      <c r="J687" s="9"/>
    </row>
    <row r="688" spans="10:10" ht="15.75" customHeight="1">
      <c r="J688" s="9"/>
    </row>
    <row r="689" spans="10:10" ht="15.75" customHeight="1">
      <c r="J689" s="9"/>
    </row>
    <row r="690" spans="10:10" ht="15.75" customHeight="1">
      <c r="J690" s="9"/>
    </row>
    <row r="691" spans="10:10" ht="15.75" customHeight="1">
      <c r="J691" s="9"/>
    </row>
    <row r="692" spans="10:10" ht="15.75" customHeight="1">
      <c r="J692" s="9"/>
    </row>
    <row r="693" spans="10:10" ht="15.75" customHeight="1">
      <c r="J693" s="9"/>
    </row>
    <row r="694" spans="10:10" ht="15.75" customHeight="1">
      <c r="J694" s="9"/>
    </row>
    <row r="695" spans="10:10" ht="15.75" customHeight="1">
      <c r="J695" s="9"/>
    </row>
    <row r="696" spans="10:10" ht="15.75" customHeight="1">
      <c r="J696" s="9"/>
    </row>
    <row r="697" spans="10:10" ht="15.75" customHeight="1">
      <c r="J697" s="9"/>
    </row>
    <row r="698" spans="10:10" ht="15.75" customHeight="1">
      <c r="J698" s="9"/>
    </row>
    <row r="699" spans="10:10" ht="15.75" customHeight="1">
      <c r="J699" s="9"/>
    </row>
    <row r="700" spans="10:10" ht="15.75" customHeight="1">
      <c r="J700" s="9"/>
    </row>
    <row r="701" spans="10:10" ht="15.75" customHeight="1">
      <c r="J701" s="9"/>
    </row>
    <row r="702" spans="10:10" ht="15.75" customHeight="1">
      <c r="J702" s="9"/>
    </row>
    <row r="703" spans="10:10" ht="15.75" customHeight="1">
      <c r="J703" s="9"/>
    </row>
    <row r="704" spans="10:10" ht="15.75" customHeight="1">
      <c r="J704" s="9"/>
    </row>
    <row r="705" spans="10:10" ht="15.75" customHeight="1">
      <c r="J705" s="9"/>
    </row>
    <row r="706" spans="10:10" ht="15.75" customHeight="1">
      <c r="J706" s="9"/>
    </row>
    <row r="707" spans="10:10" ht="15.75" customHeight="1">
      <c r="J707" s="9"/>
    </row>
    <row r="708" spans="10:10" ht="15.75" customHeight="1">
      <c r="J708" s="9"/>
    </row>
    <row r="709" spans="10:10" ht="15.75" customHeight="1">
      <c r="J709" s="9"/>
    </row>
    <row r="710" spans="10:10" ht="15.75" customHeight="1">
      <c r="J710" s="9"/>
    </row>
    <row r="711" spans="10:10" ht="15.75" customHeight="1">
      <c r="J711" s="9"/>
    </row>
    <row r="712" spans="10:10" ht="15.75" customHeight="1">
      <c r="J712" s="9"/>
    </row>
    <row r="713" spans="10:10" ht="15.75" customHeight="1">
      <c r="J713" s="9"/>
    </row>
    <row r="714" spans="10:10" ht="15.75" customHeight="1">
      <c r="J714" s="9"/>
    </row>
    <row r="715" spans="10:10" ht="15.75" customHeight="1">
      <c r="J715" s="9"/>
    </row>
    <row r="716" spans="10:10" ht="15.75" customHeight="1">
      <c r="J716" s="9"/>
    </row>
    <row r="717" spans="10:10" ht="15.75" customHeight="1">
      <c r="J717" s="9"/>
    </row>
    <row r="718" spans="10:10" ht="15.75" customHeight="1">
      <c r="J718" s="9"/>
    </row>
    <row r="719" spans="10:10" ht="15.75" customHeight="1">
      <c r="J719" s="9"/>
    </row>
    <row r="720" spans="10:10" ht="15.75" customHeight="1">
      <c r="J720" s="9"/>
    </row>
    <row r="721" spans="10:10" ht="15.75" customHeight="1">
      <c r="J721" s="9"/>
    </row>
    <row r="722" spans="10:10" ht="15.75" customHeight="1">
      <c r="J722" s="9"/>
    </row>
    <row r="723" spans="10:10" ht="15.75" customHeight="1">
      <c r="J723" s="9"/>
    </row>
    <row r="724" spans="10:10" ht="15.75" customHeight="1">
      <c r="J724" s="9"/>
    </row>
    <row r="725" spans="10:10" ht="15.75" customHeight="1">
      <c r="J725" s="9"/>
    </row>
    <row r="726" spans="10:10" ht="15.75" customHeight="1">
      <c r="J726" s="9"/>
    </row>
    <row r="727" spans="10:10" ht="15.75" customHeight="1">
      <c r="J727" s="9"/>
    </row>
    <row r="728" spans="10:10" ht="15.75" customHeight="1">
      <c r="J728" s="9"/>
    </row>
    <row r="729" spans="10:10" ht="15.75" customHeight="1">
      <c r="J729" s="9"/>
    </row>
    <row r="730" spans="10:10" ht="15.75" customHeight="1">
      <c r="J730" s="9"/>
    </row>
    <row r="731" spans="10:10" ht="15.75" customHeight="1">
      <c r="J731" s="9"/>
    </row>
    <row r="732" spans="10:10" ht="15.75" customHeight="1">
      <c r="J732" s="9"/>
    </row>
    <row r="733" spans="10:10" ht="15.75" customHeight="1">
      <c r="J733" s="9"/>
    </row>
    <row r="734" spans="10:10" ht="15.75" customHeight="1">
      <c r="J734" s="9"/>
    </row>
    <row r="735" spans="10:10" ht="15.75" customHeight="1">
      <c r="J735" s="9"/>
    </row>
    <row r="736" spans="10:10" ht="15.75" customHeight="1">
      <c r="J736" s="9"/>
    </row>
    <row r="737" spans="10:10" ht="15.75" customHeight="1">
      <c r="J737" s="9"/>
    </row>
    <row r="738" spans="10:10" ht="15.75" customHeight="1">
      <c r="J738" s="9"/>
    </row>
    <row r="739" spans="10:10" ht="15.75" customHeight="1">
      <c r="J739" s="9"/>
    </row>
    <row r="740" spans="10:10" ht="15.75" customHeight="1">
      <c r="J740" s="9"/>
    </row>
    <row r="741" spans="10:10" ht="15.75" customHeight="1">
      <c r="J741" s="9"/>
    </row>
    <row r="742" spans="10:10" ht="15.75" customHeight="1">
      <c r="J742" s="9"/>
    </row>
    <row r="743" spans="10:10" ht="15.75" customHeight="1">
      <c r="J743" s="9"/>
    </row>
    <row r="744" spans="10:10" ht="15.75" customHeight="1">
      <c r="J744" s="9"/>
    </row>
    <row r="745" spans="10:10" ht="15.75" customHeight="1">
      <c r="J745" s="9"/>
    </row>
    <row r="746" spans="10:10" ht="15.75" customHeight="1">
      <c r="J746" s="9"/>
    </row>
    <row r="747" spans="10:10" ht="15.75" customHeight="1">
      <c r="J747" s="9"/>
    </row>
    <row r="748" spans="10:10" ht="15.75" customHeight="1">
      <c r="J748" s="9"/>
    </row>
    <row r="749" spans="10:10" ht="15.75" customHeight="1">
      <c r="J749" s="9"/>
    </row>
    <row r="750" spans="10:10" ht="15.75" customHeight="1">
      <c r="J750" s="9"/>
    </row>
    <row r="751" spans="10:10" ht="15.75" customHeight="1">
      <c r="J751" s="9"/>
    </row>
    <row r="752" spans="10:10" ht="15.75" customHeight="1">
      <c r="J752" s="9"/>
    </row>
    <row r="753" spans="10:10" ht="15.75" customHeight="1">
      <c r="J753" s="9"/>
    </row>
    <row r="754" spans="10:10" ht="15.75" customHeight="1">
      <c r="J754" s="9"/>
    </row>
    <row r="755" spans="10:10" ht="15.75" customHeight="1">
      <c r="J755" s="9"/>
    </row>
    <row r="756" spans="10:10" ht="15.75" customHeight="1">
      <c r="J756" s="9"/>
    </row>
    <row r="757" spans="10:10" ht="15.75" customHeight="1">
      <c r="J757" s="9"/>
    </row>
    <row r="758" spans="10:10" ht="15.75" customHeight="1">
      <c r="J758" s="9"/>
    </row>
    <row r="759" spans="10:10" ht="15.75" customHeight="1">
      <c r="J759" s="9"/>
    </row>
    <row r="760" spans="10:10" ht="15.75" customHeight="1">
      <c r="J760" s="9"/>
    </row>
    <row r="761" spans="10:10" ht="15.75" customHeight="1">
      <c r="J761" s="9"/>
    </row>
    <row r="762" spans="10:10" ht="15.75" customHeight="1">
      <c r="J762" s="9"/>
    </row>
    <row r="763" spans="10:10" ht="15.75" customHeight="1">
      <c r="J763" s="9"/>
    </row>
    <row r="764" spans="10:10" ht="15.75" customHeight="1">
      <c r="J764" s="9"/>
    </row>
    <row r="765" spans="10:10" ht="15.75" customHeight="1">
      <c r="J765" s="9"/>
    </row>
    <row r="766" spans="10:10" ht="15.75" customHeight="1">
      <c r="J766" s="9"/>
    </row>
    <row r="767" spans="10:10" ht="15.75" customHeight="1">
      <c r="J767" s="9"/>
    </row>
    <row r="768" spans="10:10" ht="15.75" customHeight="1">
      <c r="J768" s="9"/>
    </row>
    <row r="769" spans="10:10" ht="15.75" customHeight="1">
      <c r="J769" s="9"/>
    </row>
    <row r="770" spans="10:10" ht="15.75" customHeight="1">
      <c r="J770" s="9"/>
    </row>
    <row r="771" spans="10:10" ht="15.75" customHeight="1">
      <c r="J771" s="9"/>
    </row>
    <row r="772" spans="10:10" ht="15.75" customHeight="1">
      <c r="J772" s="9"/>
    </row>
    <row r="773" spans="10:10" ht="15.75" customHeight="1">
      <c r="J773" s="9"/>
    </row>
    <row r="774" spans="10:10" ht="15.75" customHeight="1">
      <c r="J774" s="9"/>
    </row>
    <row r="775" spans="10:10" ht="15.75" customHeight="1">
      <c r="J775" s="9"/>
    </row>
    <row r="776" spans="10:10" ht="15.75" customHeight="1">
      <c r="J776" s="9"/>
    </row>
    <row r="777" spans="10:10" ht="15.75" customHeight="1">
      <c r="J777" s="9"/>
    </row>
    <row r="778" spans="10:10" ht="15.75" customHeight="1">
      <c r="J778" s="9"/>
    </row>
    <row r="779" spans="10:10" ht="15.75" customHeight="1">
      <c r="J779" s="9"/>
    </row>
    <row r="780" spans="10:10" ht="15.75" customHeight="1">
      <c r="J780" s="9"/>
    </row>
    <row r="781" spans="10:10" ht="15.75" customHeight="1">
      <c r="J781" s="9"/>
    </row>
    <row r="782" spans="10:10" ht="15.75" customHeight="1">
      <c r="J782" s="9"/>
    </row>
    <row r="783" spans="10:10" ht="15.75" customHeight="1">
      <c r="J783" s="9"/>
    </row>
    <row r="784" spans="10:10" ht="15.75" customHeight="1">
      <c r="J784" s="9"/>
    </row>
    <row r="785" spans="10:10" ht="15.75" customHeight="1">
      <c r="J785" s="9"/>
    </row>
    <row r="786" spans="10:10" ht="15.75" customHeight="1">
      <c r="J786" s="9"/>
    </row>
    <row r="787" spans="10:10" ht="15.75" customHeight="1">
      <c r="J787" s="9"/>
    </row>
    <row r="788" spans="10:10" ht="15.75" customHeight="1">
      <c r="J788" s="9"/>
    </row>
    <row r="789" spans="10:10" ht="15.75" customHeight="1">
      <c r="J789" s="9"/>
    </row>
    <row r="790" spans="10:10" ht="15.75" customHeight="1">
      <c r="J790" s="9"/>
    </row>
    <row r="791" spans="10:10" ht="15.75" customHeight="1">
      <c r="J791" s="9"/>
    </row>
    <row r="792" spans="10:10" ht="15.75" customHeight="1">
      <c r="J792" s="9"/>
    </row>
    <row r="793" spans="10:10" ht="15.75" customHeight="1">
      <c r="J793" s="9"/>
    </row>
    <row r="794" spans="10:10" ht="15.75" customHeight="1">
      <c r="J794" s="9"/>
    </row>
    <row r="795" spans="10:10" ht="15.75" customHeight="1">
      <c r="J795" s="9"/>
    </row>
    <row r="796" spans="10:10" ht="15.75" customHeight="1">
      <c r="J796" s="9"/>
    </row>
    <row r="797" spans="10:10" ht="15.75" customHeight="1">
      <c r="J797" s="9"/>
    </row>
    <row r="798" spans="10:10" ht="15.75" customHeight="1">
      <c r="J798" s="9"/>
    </row>
    <row r="799" spans="10:10" ht="15.75" customHeight="1">
      <c r="J799" s="9"/>
    </row>
    <row r="800" spans="10:10" ht="15.75" customHeight="1">
      <c r="J800" s="9"/>
    </row>
    <row r="801" spans="10:10" ht="15.75" customHeight="1">
      <c r="J801" s="9"/>
    </row>
    <row r="802" spans="10:10" ht="15.75" customHeight="1">
      <c r="J802" s="9"/>
    </row>
    <row r="803" spans="10:10" ht="15.75" customHeight="1">
      <c r="J803" s="9"/>
    </row>
    <row r="804" spans="10:10" ht="15.75" customHeight="1">
      <c r="J804" s="9"/>
    </row>
    <row r="805" spans="10:10" ht="15.75" customHeight="1">
      <c r="J805" s="9"/>
    </row>
    <row r="806" spans="10:10" ht="15.75" customHeight="1">
      <c r="J806" s="9"/>
    </row>
    <row r="807" spans="10:10" ht="15.75" customHeight="1">
      <c r="J807" s="9"/>
    </row>
    <row r="808" spans="10:10" ht="15.75" customHeight="1">
      <c r="J808" s="9"/>
    </row>
    <row r="809" spans="10:10" ht="15.75" customHeight="1">
      <c r="J809" s="9"/>
    </row>
    <row r="810" spans="10:10" ht="15.75" customHeight="1">
      <c r="J810" s="9"/>
    </row>
    <row r="811" spans="10:10" ht="15.75" customHeight="1">
      <c r="J811" s="9"/>
    </row>
    <row r="812" spans="10:10" ht="15.75" customHeight="1">
      <c r="J812" s="9"/>
    </row>
    <row r="813" spans="10:10" ht="15.75" customHeight="1">
      <c r="J813" s="9"/>
    </row>
    <row r="814" spans="10:10" ht="15.75" customHeight="1">
      <c r="J814" s="9"/>
    </row>
    <row r="815" spans="10:10" ht="15.75" customHeight="1">
      <c r="J815" s="9"/>
    </row>
    <row r="816" spans="10:10" ht="15.75" customHeight="1">
      <c r="J816" s="9"/>
    </row>
    <row r="817" spans="10:10" ht="15.75" customHeight="1">
      <c r="J817" s="9"/>
    </row>
    <row r="818" spans="10:10" ht="15.75" customHeight="1">
      <c r="J818" s="9"/>
    </row>
    <row r="819" spans="10:10" ht="15.75" customHeight="1">
      <c r="J819" s="9"/>
    </row>
    <row r="820" spans="10:10" ht="15.75" customHeight="1">
      <c r="J820" s="9"/>
    </row>
    <row r="821" spans="10:10" ht="15.75" customHeight="1">
      <c r="J821" s="9"/>
    </row>
    <row r="822" spans="10:10" ht="15.75" customHeight="1">
      <c r="J822" s="9"/>
    </row>
    <row r="823" spans="10:10" ht="15.75" customHeight="1">
      <c r="J823" s="9"/>
    </row>
    <row r="824" spans="10:10" ht="15.75" customHeight="1">
      <c r="J824" s="9"/>
    </row>
    <row r="825" spans="10:10" ht="15.75" customHeight="1">
      <c r="J825" s="9"/>
    </row>
    <row r="826" spans="10:10" ht="15.75" customHeight="1">
      <c r="J826" s="9"/>
    </row>
    <row r="827" spans="10:10" ht="15.75" customHeight="1">
      <c r="J827" s="9"/>
    </row>
    <row r="828" spans="10:10" ht="15.75" customHeight="1">
      <c r="J828" s="9"/>
    </row>
    <row r="829" spans="10:10" ht="15.75" customHeight="1">
      <c r="J829" s="9"/>
    </row>
    <row r="830" spans="10:10" ht="15.75" customHeight="1">
      <c r="J830" s="9"/>
    </row>
    <row r="831" spans="10:10" ht="15.75" customHeight="1">
      <c r="J831" s="9"/>
    </row>
    <row r="832" spans="10:10" ht="15.75" customHeight="1">
      <c r="J832" s="9"/>
    </row>
    <row r="833" spans="10:10" ht="15.75" customHeight="1">
      <c r="J833" s="9"/>
    </row>
    <row r="834" spans="10:10" ht="15.75" customHeight="1">
      <c r="J834" s="9"/>
    </row>
    <row r="835" spans="10:10" ht="15.75" customHeight="1">
      <c r="J835" s="9"/>
    </row>
    <row r="836" spans="10:10" ht="15.75" customHeight="1">
      <c r="J836" s="9"/>
    </row>
    <row r="837" spans="10:10" ht="15.75" customHeight="1">
      <c r="J837" s="9"/>
    </row>
    <row r="838" spans="10:10" ht="15.75" customHeight="1">
      <c r="J838" s="9"/>
    </row>
    <row r="839" spans="10:10" ht="15.75" customHeight="1">
      <c r="J839" s="9"/>
    </row>
    <row r="840" spans="10:10" ht="15.75" customHeight="1">
      <c r="J840" s="9"/>
    </row>
    <row r="841" spans="10:10" ht="15.75" customHeight="1">
      <c r="J841" s="9"/>
    </row>
    <row r="842" spans="10:10" ht="15.75" customHeight="1">
      <c r="J842" s="9"/>
    </row>
    <row r="843" spans="10:10" ht="15.75" customHeight="1">
      <c r="J843" s="9"/>
    </row>
    <row r="844" spans="10:10" ht="15.75" customHeight="1">
      <c r="J844" s="9"/>
    </row>
    <row r="845" spans="10:10" ht="15.75" customHeight="1">
      <c r="J845" s="9"/>
    </row>
    <row r="846" spans="10:10" ht="15.75" customHeight="1">
      <c r="J846" s="9"/>
    </row>
    <row r="847" spans="10:10" ht="15.75" customHeight="1">
      <c r="J847" s="9"/>
    </row>
    <row r="848" spans="10:10" ht="15.75" customHeight="1">
      <c r="J848" s="9"/>
    </row>
    <row r="849" spans="10:10" ht="15.75" customHeight="1">
      <c r="J849" s="9"/>
    </row>
    <row r="850" spans="10:10" ht="15.75" customHeight="1">
      <c r="J850" s="9"/>
    </row>
    <row r="851" spans="10:10" ht="15.75" customHeight="1">
      <c r="J851" s="9"/>
    </row>
    <row r="852" spans="10:10" ht="15.75" customHeight="1">
      <c r="J852" s="9"/>
    </row>
    <row r="853" spans="10:10" ht="15.75" customHeight="1">
      <c r="J853" s="9"/>
    </row>
    <row r="854" spans="10:10" ht="15.75" customHeight="1">
      <c r="J854" s="9"/>
    </row>
    <row r="855" spans="10:10" ht="15.75" customHeight="1">
      <c r="J855" s="9"/>
    </row>
    <row r="856" spans="10:10" ht="15.75" customHeight="1">
      <c r="J856" s="9"/>
    </row>
    <row r="857" spans="10:10" ht="15.75" customHeight="1">
      <c r="J857" s="9"/>
    </row>
    <row r="858" spans="10:10" ht="15.75" customHeight="1">
      <c r="J858" s="9"/>
    </row>
    <row r="859" spans="10:10" ht="15.75" customHeight="1">
      <c r="J859" s="9"/>
    </row>
    <row r="860" spans="10:10" ht="15.75" customHeight="1">
      <c r="J860" s="9"/>
    </row>
    <row r="861" spans="10:10" ht="15.75" customHeight="1">
      <c r="J861" s="9"/>
    </row>
    <row r="862" spans="10:10" ht="15.75" customHeight="1">
      <c r="J862" s="9"/>
    </row>
    <row r="863" spans="10:10" ht="15.75" customHeight="1">
      <c r="J863" s="9"/>
    </row>
    <row r="864" spans="10:10" ht="15.75" customHeight="1">
      <c r="J864" s="9"/>
    </row>
    <row r="865" spans="10:10" ht="15.75" customHeight="1">
      <c r="J865" s="9"/>
    </row>
    <row r="866" spans="10:10" ht="15.75" customHeight="1">
      <c r="J866" s="9"/>
    </row>
    <row r="867" spans="10:10" ht="15.75" customHeight="1">
      <c r="J867" s="9"/>
    </row>
    <row r="868" spans="10:10" ht="15.75" customHeight="1">
      <c r="J868" s="9"/>
    </row>
    <row r="869" spans="10:10" ht="15.75" customHeight="1">
      <c r="J869" s="9"/>
    </row>
    <row r="870" spans="10:10" ht="15.75" customHeight="1">
      <c r="J870" s="9"/>
    </row>
    <row r="871" spans="10:10" ht="15.75" customHeight="1">
      <c r="J871" s="9"/>
    </row>
    <row r="872" spans="10:10" ht="15.75" customHeight="1">
      <c r="J872" s="9"/>
    </row>
    <row r="873" spans="10:10" ht="15.75" customHeight="1">
      <c r="J873" s="9"/>
    </row>
    <row r="874" spans="10:10" ht="15.75" customHeight="1">
      <c r="J874" s="9"/>
    </row>
    <row r="875" spans="10:10" ht="15.75" customHeight="1">
      <c r="J875" s="9"/>
    </row>
    <row r="876" spans="10:10" ht="15.75" customHeight="1">
      <c r="J876" s="9"/>
    </row>
    <row r="877" spans="10:10" ht="15.75" customHeight="1">
      <c r="J877" s="9"/>
    </row>
    <row r="878" spans="10:10" ht="15.75" customHeight="1">
      <c r="J878" s="9"/>
    </row>
    <row r="879" spans="10:10" ht="15.75" customHeight="1">
      <c r="J879" s="9"/>
    </row>
    <row r="880" spans="10:10" ht="15.75" customHeight="1">
      <c r="J880" s="9"/>
    </row>
    <row r="881" spans="10:10" ht="15.75" customHeight="1">
      <c r="J881" s="9"/>
    </row>
    <row r="882" spans="10:10" ht="15.75" customHeight="1">
      <c r="J882" s="9"/>
    </row>
    <row r="883" spans="10:10" ht="15.75" customHeight="1">
      <c r="J883" s="9"/>
    </row>
    <row r="884" spans="10:10" ht="15.75" customHeight="1">
      <c r="J884" s="9"/>
    </row>
    <row r="885" spans="10:10" ht="15.75" customHeight="1">
      <c r="J885" s="9"/>
    </row>
    <row r="886" spans="10:10" ht="15.75" customHeight="1">
      <c r="J886" s="9"/>
    </row>
    <row r="887" spans="10:10" ht="15.75" customHeight="1">
      <c r="J887" s="9"/>
    </row>
    <row r="888" spans="10:10" ht="15.75" customHeight="1">
      <c r="J888" s="9"/>
    </row>
    <row r="889" spans="10:10" ht="15.75" customHeight="1">
      <c r="J889" s="9"/>
    </row>
    <row r="890" spans="10:10" ht="15.75" customHeight="1">
      <c r="J890" s="9"/>
    </row>
    <row r="891" spans="10:10" ht="15.75" customHeight="1">
      <c r="J891" s="9"/>
    </row>
    <row r="892" spans="10:10" ht="15.75" customHeight="1">
      <c r="J892" s="9"/>
    </row>
    <row r="893" spans="10:10" ht="15.75" customHeight="1">
      <c r="J893" s="9"/>
    </row>
    <row r="894" spans="10:10" ht="15.75" customHeight="1">
      <c r="J894" s="9"/>
    </row>
    <row r="895" spans="10:10" ht="15.75" customHeight="1">
      <c r="J895" s="9"/>
    </row>
    <row r="896" spans="10:10" ht="15.75" customHeight="1">
      <c r="J896" s="9"/>
    </row>
    <row r="897" spans="10:10" ht="15.75" customHeight="1">
      <c r="J897" s="9"/>
    </row>
    <row r="898" spans="10:10" ht="15.75" customHeight="1">
      <c r="J898" s="9"/>
    </row>
    <row r="899" spans="10:10" ht="15.75" customHeight="1">
      <c r="J899" s="9"/>
    </row>
    <row r="900" spans="10:10" ht="15.75" customHeight="1">
      <c r="J900" s="9"/>
    </row>
    <row r="901" spans="10:10" ht="15.75" customHeight="1">
      <c r="J901" s="9"/>
    </row>
    <row r="902" spans="10:10" ht="15.75" customHeight="1">
      <c r="J902" s="9"/>
    </row>
    <row r="903" spans="10:10" ht="15.75" customHeight="1">
      <c r="J903" s="9"/>
    </row>
    <row r="904" spans="10:10" ht="15.75" customHeight="1">
      <c r="J904" s="9"/>
    </row>
    <row r="905" spans="10:10" ht="15.75" customHeight="1">
      <c r="J905" s="9"/>
    </row>
    <row r="906" spans="10:10" ht="15.75" customHeight="1">
      <c r="J906" s="9"/>
    </row>
    <row r="907" spans="10:10" ht="15.75" customHeight="1">
      <c r="J907" s="9"/>
    </row>
    <row r="908" spans="10:10" ht="15.75" customHeight="1">
      <c r="J908" s="9"/>
    </row>
    <row r="909" spans="10:10" ht="15.75" customHeight="1">
      <c r="J909" s="9"/>
    </row>
    <row r="910" spans="10:10" ht="15.75" customHeight="1">
      <c r="J910" s="9"/>
    </row>
    <row r="911" spans="10:10" ht="15.75" customHeight="1">
      <c r="J911" s="9"/>
    </row>
    <row r="912" spans="10:10" ht="15.75" customHeight="1">
      <c r="J912" s="9"/>
    </row>
    <row r="913" spans="10:10" ht="15.75" customHeight="1">
      <c r="J913" s="9"/>
    </row>
    <row r="914" spans="10:10" ht="15.75" customHeight="1">
      <c r="J914" s="9"/>
    </row>
    <row r="915" spans="10:10" ht="15.75" customHeight="1">
      <c r="J915" s="9"/>
    </row>
    <row r="916" spans="10:10" ht="15.75" customHeight="1">
      <c r="J916" s="9"/>
    </row>
    <row r="917" spans="10:10" ht="15.75" customHeight="1">
      <c r="J917" s="9"/>
    </row>
    <row r="918" spans="10:10" ht="15.75" customHeight="1">
      <c r="J918" s="9"/>
    </row>
    <row r="919" spans="10:10" ht="15.75" customHeight="1">
      <c r="J919" s="9"/>
    </row>
    <row r="920" spans="10:10" ht="15.75" customHeight="1">
      <c r="J920" s="9"/>
    </row>
    <row r="921" spans="10:10" ht="15.75" customHeight="1">
      <c r="J921" s="9"/>
    </row>
    <row r="922" spans="10:10" ht="15.75" customHeight="1">
      <c r="J922" s="9"/>
    </row>
    <row r="923" spans="10:10" ht="15.75" customHeight="1">
      <c r="J923" s="9"/>
    </row>
    <row r="924" spans="10:10" ht="15.75" customHeight="1">
      <c r="J924" s="9"/>
    </row>
    <row r="925" spans="10:10" ht="15.75" customHeight="1">
      <c r="J925" s="9"/>
    </row>
    <row r="926" spans="10:10" ht="15.75" customHeight="1">
      <c r="J926" s="9"/>
    </row>
    <row r="927" spans="10:10" ht="15.75" customHeight="1">
      <c r="J927" s="9"/>
    </row>
    <row r="928" spans="10:10" ht="15.75" customHeight="1">
      <c r="J928" s="9"/>
    </row>
    <row r="929" spans="10:10" ht="15.75" customHeight="1">
      <c r="J929" s="9"/>
    </row>
    <row r="930" spans="10:10" ht="15.75" customHeight="1">
      <c r="J930" s="9"/>
    </row>
    <row r="931" spans="10:10" ht="15.75" customHeight="1">
      <c r="J931" s="9"/>
    </row>
    <row r="932" spans="10:10" ht="15.75" customHeight="1">
      <c r="J932" s="9"/>
    </row>
    <row r="933" spans="10:10" ht="15.75" customHeight="1">
      <c r="J933" s="9"/>
    </row>
    <row r="934" spans="10:10" ht="15.75" customHeight="1">
      <c r="J934" s="9"/>
    </row>
    <row r="935" spans="10:10" ht="15.75" customHeight="1">
      <c r="J935" s="9"/>
    </row>
    <row r="936" spans="10:10" ht="15.75" customHeight="1">
      <c r="J936" s="9"/>
    </row>
    <row r="937" spans="10:10" ht="15.75" customHeight="1">
      <c r="J937" s="9"/>
    </row>
    <row r="938" spans="10:10" ht="15.75" customHeight="1">
      <c r="J938" s="9"/>
    </row>
    <row r="939" spans="10:10" ht="15.75" customHeight="1">
      <c r="J939" s="9"/>
    </row>
    <row r="940" spans="10:10" ht="15.75" customHeight="1">
      <c r="J940" s="9"/>
    </row>
    <row r="941" spans="10:10" ht="15.75" customHeight="1">
      <c r="J941" s="9"/>
    </row>
    <row r="942" spans="10:10" ht="15.75" customHeight="1">
      <c r="J942" s="9"/>
    </row>
    <row r="943" spans="10:10" ht="15.75" customHeight="1">
      <c r="J943" s="9"/>
    </row>
    <row r="944" spans="10:10" ht="15.75" customHeight="1">
      <c r="J944" s="9"/>
    </row>
    <row r="945" spans="10:10" ht="15.75" customHeight="1">
      <c r="J945" s="9"/>
    </row>
    <row r="946" spans="10:10" ht="15.75" customHeight="1">
      <c r="J946" s="9"/>
    </row>
    <row r="947" spans="10:10" ht="15.75" customHeight="1">
      <c r="J947" s="9"/>
    </row>
    <row r="948" spans="10:10" ht="15.75" customHeight="1">
      <c r="J948" s="9"/>
    </row>
    <row r="949" spans="10:10" ht="15.75" customHeight="1">
      <c r="J949" s="9"/>
    </row>
    <row r="950" spans="10:10" ht="15.75" customHeight="1">
      <c r="J950" s="9"/>
    </row>
    <row r="951" spans="10:10" ht="15.75" customHeight="1">
      <c r="J951" s="9"/>
    </row>
    <row r="952" spans="10:10" ht="15.75" customHeight="1">
      <c r="J952" s="9"/>
    </row>
    <row r="953" spans="10:10" ht="15.75" customHeight="1">
      <c r="J953" s="9"/>
    </row>
    <row r="954" spans="10:10" ht="15.75" customHeight="1">
      <c r="J954" s="9"/>
    </row>
    <row r="955" spans="10:10" ht="15.75" customHeight="1">
      <c r="J955" s="9"/>
    </row>
    <row r="956" spans="10:10" ht="15.75" customHeight="1">
      <c r="J956" s="9"/>
    </row>
    <row r="957" spans="10:10" ht="15.75" customHeight="1">
      <c r="J957" s="9"/>
    </row>
    <row r="958" spans="10:10" ht="15.75" customHeight="1">
      <c r="J958" s="9"/>
    </row>
    <row r="959" spans="10:10" ht="15.75" customHeight="1">
      <c r="J959" s="9"/>
    </row>
    <row r="960" spans="10:10" ht="15.75" customHeight="1">
      <c r="J960" s="9"/>
    </row>
    <row r="961" spans="10:10" ht="15.75" customHeight="1">
      <c r="J961" s="9"/>
    </row>
    <row r="962" spans="10:10" ht="15.75" customHeight="1">
      <c r="J962" s="9"/>
    </row>
    <row r="963" spans="10:10" ht="15.75" customHeight="1">
      <c r="J963" s="9"/>
    </row>
    <row r="964" spans="10:10" ht="15.75" customHeight="1">
      <c r="J964" s="9"/>
    </row>
    <row r="965" spans="10:10" ht="15.75" customHeight="1">
      <c r="J965" s="9"/>
    </row>
    <row r="966" spans="10:10" ht="15.75" customHeight="1">
      <c r="J966" s="9"/>
    </row>
    <row r="967" spans="10:10" ht="15.75" customHeight="1">
      <c r="J967" s="9"/>
    </row>
    <row r="968" spans="10:10" ht="15.75" customHeight="1">
      <c r="J968" s="9"/>
    </row>
    <row r="969" spans="10:10" ht="15.75" customHeight="1">
      <c r="J969" s="9"/>
    </row>
    <row r="970" spans="10:10" ht="15.75" customHeight="1">
      <c r="J970" s="9"/>
    </row>
    <row r="971" spans="10:10" ht="15.75" customHeight="1">
      <c r="J971" s="9"/>
    </row>
    <row r="972" spans="10:10" ht="15.75" customHeight="1">
      <c r="J972" s="9"/>
    </row>
    <row r="973" spans="10:10" ht="15.75" customHeight="1">
      <c r="J973" s="9"/>
    </row>
    <row r="974" spans="10:10" ht="15.75" customHeight="1">
      <c r="J974" s="9"/>
    </row>
    <row r="975" spans="10:10" ht="15.75" customHeight="1">
      <c r="J975" s="9"/>
    </row>
    <row r="976" spans="10:10" ht="15.75" customHeight="1">
      <c r="J976" s="9"/>
    </row>
    <row r="977" spans="10:10" ht="15.75" customHeight="1">
      <c r="J977" s="9"/>
    </row>
    <row r="978" spans="10:10" ht="15.75" customHeight="1">
      <c r="J978" s="9"/>
    </row>
    <row r="979" spans="10:10" ht="15.75" customHeight="1">
      <c r="J979" s="9"/>
    </row>
    <row r="980" spans="10:10" ht="15.75" customHeight="1">
      <c r="J980" s="9"/>
    </row>
    <row r="981" spans="10:10" ht="15.75" customHeight="1">
      <c r="J981" s="9"/>
    </row>
    <row r="982" spans="10:10" ht="15.75" customHeight="1">
      <c r="J982" s="9"/>
    </row>
    <row r="983" spans="10:10" ht="15.75" customHeight="1">
      <c r="J983" s="9"/>
    </row>
    <row r="984" spans="10:10" ht="15.75" customHeight="1">
      <c r="J984" s="9"/>
    </row>
    <row r="985" spans="10:10" ht="15.75" customHeight="1">
      <c r="J985" s="9"/>
    </row>
    <row r="986" spans="10:10" ht="15.75" customHeight="1">
      <c r="J986" s="9"/>
    </row>
    <row r="987" spans="10:10" ht="15.75" customHeight="1">
      <c r="J987" s="9"/>
    </row>
    <row r="988" spans="10:10" ht="15.75" customHeight="1">
      <c r="J988" s="9"/>
    </row>
    <row r="989" spans="10:10" ht="15.75" customHeight="1">
      <c r="J989" s="9"/>
    </row>
    <row r="990" spans="10:10" ht="15.75" customHeight="1">
      <c r="J990" s="9"/>
    </row>
    <row r="991" spans="10:10" ht="15.75" customHeight="1">
      <c r="J991" s="9"/>
    </row>
    <row r="992" spans="10:10" ht="15.75" customHeight="1">
      <c r="J992" s="9"/>
    </row>
    <row r="993" spans="10:10" ht="15.75" customHeight="1">
      <c r="J993" s="9"/>
    </row>
    <row r="994" spans="10:10" ht="15.75" customHeight="1">
      <c r="J994" s="9"/>
    </row>
    <row r="995" spans="10:10" ht="15.75" customHeight="1">
      <c r="J995" s="9"/>
    </row>
    <row r="996" spans="10:10" ht="15.75" customHeight="1">
      <c r="J996" s="9"/>
    </row>
    <row r="997" spans="10:10" ht="15.75" customHeight="1">
      <c r="J997" s="9"/>
    </row>
    <row r="998" spans="10:10" ht="15.75" customHeight="1">
      <c r="J998" s="9"/>
    </row>
    <row r="999" spans="10:10" ht="15.75" customHeight="1">
      <c r="J999" s="9"/>
    </row>
    <row r="1000" spans="10:10" ht="15.75" customHeight="1">
      <c r="J1000" s="9"/>
    </row>
  </sheetData>
  <mergeCells count="10">
    <mergeCell ref="B17:L17"/>
    <mergeCell ref="B20:L20"/>
    <mergeCell ref="B23:H23"/>
    <mergeCell ref="B3:H3"/>
    <mergeCell ref="I3:L3"/>
    <mergeCell ref="B4:C4"/>
    <mergeCell ref="B5:L5"/>
    <mergeCell ref="B8:L8"/>
    <mergeCell ref="B11:L11"/>
    <mergeCell ref="B14:L14"/>
  </mergeCells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18C3-87E3-46EE-922A-0C9B6946BB8E}">
  <dimension ref="A3:K19"/>
  <sheetViews>
    <sheetView topLeftCell="A7" workbookViewId="0">
      <selection activeCell="B23" sqref="B23"/>
    </sheetView>
  </sheetViews>
  <sheetFormatPr baseColWidth="10" defaultColWidth="8.83203125" defaultRowHeight="15"/>
  <cols>
    <col min="1" max="1" width="5.83203125" customWidth="1"/>
    <col min="2" max="2" width="29" customWidth="1"/>
    <col min="3" max="7" width="18.5" customWidth="1"/>
    <col min="8" max="11" width="10.83203125" customWidth="1"/>
  </cols>
  <sheetData>
    <row r="3" spans="1:11" ht="16" thickBot="1"/>
    <row r="4" spans="1:11" ht="21" customHeight="1" thickBot="1">
      <c r="A4" s="176" t="s">
        <v>750</v>
      </c>
      <c r="B4" s="177"/>
      <c r="C4" s="177"/>
      <c r="D4" s="177"/>
      <c r="E4" s="177"/>
      <c r="F4" s="177"/>
      <c r="G4" s="177"/>
      <c r="H4" s="178" t="s">
        <v>1</v>
      </c>
      <c r="I4" s="179"/>
      <c r="J4" s="179"/>
      <c r="K4" s="180"/>
    </row>
    <row r="5" spans="1:11" ht="34" thickTop="1" thickBot="1">
      <c r="A5" s="181" t="s">
        <v>751</v>
      </c>
      <c r="B5" s="182"/>
      <c r="C5" s="127">
        <v>1</v>
      </c>
      <c r="D5" s="127">
        <v>2</v>
      </c>
      <c r="E5" s="127">
        <v>3</v>
      </c>
      <c r="F5" s="127">
        <v>4</v>
      </c>
      <c r="G5" s="127">
        <v>5</v>
      </c>
      <c r="H5" s="2" t="s">
        <v>3</v>
      </c>
      <c r="I5" s="2" t="s">
        <v>4</v>
      </c>
      <c r="J5" s="2" t="s">
        <v>5</v>
      </c>
      <c r="K5" s="129" t="s">
        <v>6</v>
      </c>
    </row>
    <row r="6" spans="1:11" ht="17" thickTop="1" thickBot="1">
      <c r="A6" s="173" t="s">
        <v>752</v>
      </c>
      <c r="B6" s="174"/>
      <c r="C6" s="174"/>
      <c r="D6" s="174"/>
      <c r="E6" s="174"/>
      <c r="F6" s="174"/>
      <c r="G6" s="174"/>
      <c r="H6" s="174"/>
      <c r="I6" s="174"/>
      <c r="J6" s="174"/>
      <c r="K6" s="175"/>
    </row>
    <row r="7" spans="1:11" ht="146" thickTop="1" thickBot="1">
      <c r="A7" s="130">
        <v>1</v>
      </c>
      <c r="B7" s="128" t="s">
        <v>753</v>
      </c>
      <c r="C7" s="128" t="s">
        <v>754</v>
      </c>
      <c r="D7" s="128" t="s">
        <v>755</v>
      </c>
      <c r="E7" s="128" t="s">
        <v>756</v>
      </c>
      <c r="F7" s="128" t="s">
        <v>757</v>
      </c>
      <c r="G7" s="128" t="s">
        <v>758</v>
      </c>
      <c r="H7" s="128"/>
      <c r="I7" s="128"/>
      <c r="J7" s="128"/>
      <c r="K7" s="131"/>
    </row>
    <row r="8" spans="1:11" ht="66" thickTop="1" thickBot="1">
      <c r="A8" s="130">
        <v>2</v>
      </c>
      <c r="B8" s="128" t="s">
        <v>759</v>
      </c>
      <c r="C8" s="128" t="s">
        <v>760</v>
      </c>
      <c r="D8" s="128" t="s">
        <v>761</v>
      </c>
      <c r="E8" s="128" t="s">
        <v>762</v>
      </c>
      <c r="F8" s="128" t="s">
        <v>761</v>
      </c>
      <c r="G8" s="128" t="s">
        <v>763</v>
      </c>
      <c r="H8" s="128"/>
      <c r="I8" s="128"/>
      <c r="J8" s="128"/>
      <c r="K8" s="131"/>
    </row>
    <row r="9" spans="1:11" ht="17" thickTop="1" thickBot="1">
      <c r="A9" s="173" t="s">
        <v>764</v>
      </c>
      <c r="B9" s="174"/>
      <c r="C9" s="174"/>
      <c r="D9" s="174"/>
      <c r="E9" s="174"/>
      <c r="F9" s="174"/>
      <c r="G9" s="174"/>
      <c r="H9" s="174"/>
      <c r="I9" s="174"/>
      <c r="J9" s="174"/>
      <c r="K9" s="175"/>
    </row>
    <row r="10" spans="1:11" ht="82" thickTop="1" thickBot="1">
      <c r="A10" s="130">
        <v>3</v>
      </c>
      <c r="B10" s="128" t="s">
        <v>765</v>
      </c>
      <c r="C10" s="128" t="s">
        <v>766</v>
      </c>
      <c r="D10" s="128" t="s">
        <v>761</v>
      </c>
      <c r="E10" s="128" t="s">
        <v>767</v>
      </c>
      <c r="F10" s="128" t="s">
        <v>761</v>
      </c>
      <c r="G10" s="128" t="s">
        <v>768</v>
      </c>
      <c r="H10" s="128"/>
      <c r="I10" s="128"/>
      <c r="J10" s="128"/>
      <c r="K10" s="131"/>
    </row>
    <row r="11" spans="1:11" ht="17" thickTop="1" thickBot="1">
      <c r="A11" s="173" t="s">
        <v>769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5"/>
    </row>
    <row r="12" spans="1:11" ht="114" thickTop="1" thickBot="1">
      <c r="A12" s="130">
        <v>4</v>
      </c>
      <c r="B12" s="128" t="s">
        <v>770</v>
      </c>
      <c r="C12" s="128" t="s">
        <v>771</v>
      </c>
      <c r="D12" s="128"/>
      <c r="E12" s="128" t="s">
        <v>772</v>
      </c>
      <c r="F12" s="128"/>
      <c r="G12" s="128" t="s">
        <v>773</v>
      </c>
      <c r="H12" s="128"/>
      <c r="I12" s="128"/>
      <c r="J12" s="128"/>
      <c r="K12" s="131"/>
    </row>
    <row r="13" spans="1:11" ht="17" thickTop="1" thickBot="1">
      <c r="A13" s="173" t="s">
        <v>774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5"/>
    </row>
    <row r="14" spans="1:11" ht="66" thickTop="1" thickBot="1">
      <c r="A14" s="130">
        <v>5</v>
      </c>
      <c r="B14" s="128" t="s">
        <v>775</v>
      </c>
      <c r="C14" s="128" t="s">
        <v>776</v>
      </c>
      <c r="D14" s="128" t="s">
        <v>761</v>
      </c>
      <c r="E14" s="128" t="s">
        <v>761</v>
      </c>
      <c r="F14" s="128" t="s">
        <v>761</v>
      </c>
      <c r="G14" s="128" t="s">
        <v>777</v>
      </c>
      <c r="H14" s="128"/>
      <c r="I14" s="128"/>
      <c r="J14" s="128"/>
      <c r="K14" s="131"/>
    </row>
    <row r="15" spans="1:11" ht="17" thickTop="1" thickBot="1">
      <c r="A15" s="173" t="s">
        <v>778</v>
      </c>
      <c r="B15" s="174"/>
      <c r="C15" s="174"/>
      <c r="D15" s="174"/>
      <c r="E15" s="174"/>
      <c r="F15" s="174"/>
      <c r="G15" s="174"/>
      <c r="H15" s="174"/>
      <c r="I15" s="174"/>
      <c r="J15" s="174"/>
      <c r="K15" s="175"/>
    </row>
    <row r="16" spans="1:11" ht="66" thickTop="1" thickBot="1">
      <c r="A16" s="130">
        <v>6</v>
      </c>
      <c r="B16" s="128" t="s">
        <v>779</v>
      </c>
      <c r="C16" s="128" t="s">
        <v>780</v>
      </c>
      <c r="D16" s="128"/>
      <c r="E16" s="128" t="s">
        <v>781</v>
      </c>
      <c r="F16" s="128"/>
      <c r="G16" s="128" t="s">
        <v>782</v>
      </c>
      <c r="H16" s="128"/>
      <c r="I16" s="128"/>
      <c r="J16" s="128"/>
      <c r="K16" s="131"/>
    </row>
    <row r="17" spans="1:11" ht="66" thickTop="1" thickBot="1">
      <c r="A17" s="130">
        <v>7</v>
      </c>
      <c r="B17" s="128" t="s">
        <v>783</v>
      </c>
      <c r="C17" s="128" t="s">
        <v>784</v>
      </c>
      <c r="D17" s="128"/>
      <c r="E17" s="128"/>
      <c r="F17" s="128"/>
      <c r="G17" s="128" t="s">
        <v>785</v>
      </c>
      <c r="H17" s="128"/>
      <c r="I17" s="128"/>
      <c r="J17" s="128"/>
      <c r="K17" s="131"/>
    </row>
    <row r="18" spans="1:11" ht="66" thickTop="1" thickBot="1">
      <c r="A18" s="130">
        <v>8</v>
      </c>
      <c r="B18" s="128" t="s">
        <v>786</v>
      </c>
      <c r="C18" s="128" t="s">
        <v>787</v>
      </c>
      <c r="D18" s="128"/>
      <c r="E18" s="128"/>
      <c r="F18" s="128" t="s">
        <v>761</v>
      </c>
      <c r="G18" s="128" t="s">
        <v>788</v>
      </c>
      <c r="H18" s="128"/>
      <c r="I18" s="128"/>
      <c r="J18" s="128"/>
      <c r="K18" s="131"/>
    </row>
    <row r="19" spans="1:11" ht="50" thickTop="1" thickBot="1">
      <c r="A19" s="132">
        <v>9</v>
      </c>
      <c r="B19" s="133" t="s">
        <v>789</v>
      </c>
      <c r="C19" s="133" t="s">
        <v>790</v>
      </c>
      <c r="D19" s="133"/>
      <c r="E19" s="133" t="s">
        <v>791</v>
      </c>
      <c r="F19" s="133"/>
      <c r="G19" s="133" t="s">
        <v>792</v>
      </c>
      <c r="H19" s="133"/>
      <c r="I19" s="133"/>
      <c r="J19" s="133"/>
      <c r="K19" s="134"/>
    </row>
  </sheetData>
  <mergeCells count="8">
    <mergeCell ref="A15:K15"/>
    <mergeCell ref="A4:G4"/>
    <mergeCell ref="H4:K4"/>
    <mergeCell ref="A5:B5"/>
    <mergeCell ref="A6:K6"/>
    <mergeCell ref="A9:K9"/>
    <mergeCell ref="A11:K11"/>
    <mergeCell ref="A13: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95"/>
  <sheetViews>
    <sheetView topLeftCell="A2" workbookViewId="0">
      <selection activeCell="U11" sqref="U11"/>
    </sheetView>
  </sheetViews>
  <sheetFormatPr baseColWidth="10" defaultColWidth="12.5" defaultRowHeight="15" customHeight="1"/>
  <cols>
    <col min="1" max="1" width="4.33203125" customWidth="1"/>
    <col min="2" max="2" width="38.5" customWidth="1"/>
    <col min="3" max="4" width="11.5" hidden="1" customWidth="1"/>
    <col min="5" max="5" width="11.1640625" customWidth="1"/>
    <col min="6" max="7" width="11.1640625" hidden="1" customWidth="1"/>
    <col min="8" max="8" width="11.1640625" customWidth="1"/>
    <col min="9" max="10" width="11.1640625" hidden="1" customWidth="1"/>
    <col min="11" max="11" width="10.5" customWidth="1"/>
    <col min="12" max="13" width="10.5" hidden="1" customWidth="1"/>
    <col min="14" max="14" width="10.5" customWidth="1"/>
    <col min="15" max="34" width="8.5" customWidth="1"/>
  </cols>
  <sheetData>
    <row r="2" spans="1:19" ht="18.75" customHeight="1">
      <c r="A2" s="184" t="s">
        <v>745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6"/>
    </row>
    <row r="3" spans="1:19">
      <c r="A3" s="187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9"/>
    </row>
    <row r="4" spans="1:19">
      <c r="A4" s="187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9"/>
    </row>
    <row r="5" spans="1:19">
      <c r="A5" s="187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9"/>
    </row>
    <row r="6" spans="1:19">
      <c r="A6" s="190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2"/>
    </row>
    <row r="7" spans="1:19" ht="60">
      <c r="A7" s="111" t="s">
        <v>718</v>
      </c>
      <c r="B7" s="112" t="s">
        <v>719</v>
      </c>
      <c r="C7" s="113" t="s">
        <v>720</v>
      </c>
      <c r="D7" s="114" t="s">
        <v>721</v>
      </c>
      <c r="E7" s="114" t="s">
        <v>746</v>
      </c>
      <c r="F7" s="113" t="s">
        <v>722</v>
      </c>
      <c r="G7" s="115" t="s">
        <v>723</v>
      </c>
      <c r="H7" s="116" t="s">
        <v>747</v>
      </c>
      <c r="I7" s="113" t="s">
        <v>724</v>
      </c>
      <c r="J7" s="117" t="s">
        <v>725</v>
      </c>
      <c r="K7" s="117" t="s">
        <v>748</v>
      </c>
      <c r="L7" s="113" t="s">
        <v>726</v>
      </c>
      <c r="M7" s="118" t="s">
        <v>727</v>
      </c>
      <c r="N7" s="119" t="s">
        <v>749</v>
      </c>
      <c r="R7" s="69"/>
      <c r="S7" s="59"/>
    </row>
    <row r="8" spans="1:19" ht="32.25" customHeight="1">
      <c r="A8" s="120" t="s">
        <v>728</v>
      </c>
      <c r="B8" s="121" t="s">
        <v>729</v>
      </c>
      <c r="C8" s="70">
        <v>80</v>
      </c>
      <c r="D8" s="71">
        <f>'KOMPONEN A'!I26</f>
        <v>58</v>
      </c>
      <c r="E8" s="82">
        <f t="shared" ref="E8:E12" si="0">D8/C8</f>
        <v>0.72499999999999998</v>
      </c>
      <c r="F8" s="70">
        <v>80</v>
      </c>
      <c r="G8" s="72">
        <f>'KOMPONEN A'!K26</f>
        <v>58</v>
      </c>
      <c r="H8" s="122">
        <f t="shared" ref="H8:H12" si="1">G8/F8</f>
        <v>0.72499999999999998</v>
      </c>
      <c r="I8" s="70">
        <v>80</v>
      </c>
      <c r="J8" s="73">
        <f>'KOMPONEN A'!I26</f>
        <v>58</v>
      </c>
      <c r="K8" s="84">
        <f t="shared" ref="K8:K12" si="2">J8/I8</f>
        <v>0.72499999999999998</v>
      </c>
      <c r="L8" s="70">
        <v>80</v>
      </c>
      <c r="M8" s="123">
        <f>'KOMPONEN A'!I26</f>
        <v>58</v>
      </c>
      <c r="N8" s="85">
        <f t="shared" ref="N8:N12" si="3">M8/L8</f>
        <v>0.72499999999999998</v>
      </c>
      <c r="R8" s="69"/>
      <c r="S8" s="59"/>
    </row>
    <row r="9" spans="1:19" ht="32.25" customHeight="1">
      <c r="A9" s="120" t="s">
        <v>730</v>
      </c>
      <c r="B9" s="121" t="s">
        <v>731</v>
      </c>
      <c r="C9" s="70">
        <v>205</v>
      </c>
      <c r="D9" s="71">
        <f>'KOMPONEN B'!I75</f>
        <v>139</v>
      </c>
      <c r="E9" s="82">
        <f t="shared" si="0"/>
        <v>0.67804878048780493</v>
      </c>
      <c r="F9" s="70">
        <v>205</v>
      </c>
      <c r="G9" s="72">
        <f>'KOMPONEN B'!J75</f>
        <v>184</v>
      </c>
      <c r="H9" s="122">
        <f t="shared" si="1"/>
        <v>0.89756097560975612</v>
      </c>
      <c r="I9" s="70">
        <v>190</v>
      </c>
      <c r="J9" s="75">
        <f>'KOMPONEN B'!K75</f>
        <v>141</v>
      </c>
      <c r="K9" s="84">
        <f t="shared" si="2"/>
        <v>0.74210526315789471</v>
      </c>
      <c r="L9" s="70">
        <v>160</v>
      </c>
      <c r="M9" s="123">
        <f>'KOMPONEN B'!L75</f>
        <v>124</v>
      </c>
      <c r="N9" s="85">
        <f t="shared" si="3"/>
        <v>0.77500000000000002</v>
      </c>
      <c r="R9" s="69"/>
      <c r="S9" s="59"/>
    </row>
    <row r="10" spans="1:19" ht="32.25" customHeight="1">
      <c r="A10" s="120" t="s">
        <v>732</v>
      </c>
      <c r="B10" s="121" t="s">
        <v>448</v>
      </c>
      <c r="C10" s="70">
        <v>90</v>
      </c>
      <c r="D10" s="71">
        <f>'KOMPONEN C'!I44</f>
        <v>65</v>
      </c>
      <c r="E10" s="82">
        <f t="shared" si="0"/>
        <v>0.72222222222222221</v>
      </c>
      <c r="F10" s="70">
        <v>85</v>
      </c>
      <c r="G10" s="72">
        <f>'KOMPONEN C'!J44</f>
        <v>71</v>
      </c>
      <c r="H10" s="122">
        <f t="shared" si="1"/>
        <v>0.83529411764705885</v>
      </c>
      <c r="I10" s="70">
        <v>115</v>
      </c>
      <c r="J10" s="75">
        <f>'KOMPONEN C'!K44</f>
        <v>106.5</v>
      </c>
      <c r="K10" s="84">
        <f t="shared" si="2"/>
        <v>0.92608695652173911</v>
      </c>
      <c r="L10" s="70">
        <v>40</v>
      </c>
      <c r="M10" s="123">
        <f>'KOMPONEN C'!L44</f>
        <v>32</v>
      </c>
      <c r="N10" s="85">
        <f t="shared" si="3"/>
        <v>0.8</v>
      </c>
      <c r="R10" s="69"/>
      <c r="S10" s="59"/>
    </row>
    <row r="11" spans="1:19" ht="32.25" customHeight="1">
      <c r="A11" s="120" t="s">
        <v>733</v>
      </c>
      <c r="B11" s="121" t="s">
        <v>642</v>
      </c>
      <c r="C11" s="70">
        <v>30</v>
      </c>
      <c r="D11" s="71">
        <f>'KOMPONEN D'!I23</f>
        <v>24</v>
      </c>
      <c r="E11" s="82">
        <f t="shared" si="0"/>
        <v>0.8</v>
      </c>
      <c r="F11" s="70">
        <v>20</v>
      </c>
      <c r="G11" s="72">
        <f>'KOMPONEN D'!J23</f>
        <v>16.5</v>
      </c>
      <c r="H11" s="122">
        <f t="shared" si="1"/>
        <v>0.82499999999999996</v>
      </c>
      <c r="I11" s="70">
        <v>30</v>
      </c>
      <c r="J11" s="75">
        <f>'KOMPONEN D'!K23</f>
        <v>20</v>
      </c>
      <c r="K11" s="84">
        <f t="shared" si="2"/>
        <v>0.66666666666666663</v>
      </c>
      <c r="L11" s="70">
        <v>10</v>
      </c>
      <c r="M11" s="123">
        <f>'KOMPONEN D'!L23</f>
        <v>10</v>
      </c>
      <c r="N11" s="85">
        <f t="shared" si="3"/>
        <v>1</v>
      </c>
      <c r="R11" s="59"/>
      <c r="S11" s="59"/>
    </row>
    <row r="12" spans="1:19" ht="32.25" hidden="1" customHeight="1">
      <c r="A12" s="193" t="s">
        <v>734</v>
      </c>
      <c r="B12" s="194"/>
      <c r="C12" s="76">
        <f t="shared" ref="C12:D12" si="4">SUM(C8:C11)</f>
        <v>405</v>
      </c>
      <c r="D12" s="77">
        <f t="shared" si="4"/>
        <v>286</v>
      </c>
      <c r="E12" s="82">
        <f t="shared" si="0"/>
        <v>0.70617283950617282</v>
      </c>
      <c r="F12" s="76">
        <f t="shared" ref="F12:G12" si="5">SUM(F8:F11)</f>
        <v>390</v>
      </c>
      <c r="G12" s="78">
        <f t="shared" si="5"/>
        <v>329.5</v>
      </c>
      <c r="H12" s="122">
        <f t="shared" si="1"/>
        <v>0.84487179487179487</v>
      </c>
      <c r="I12" s="76">
        <f t="shared" ref="I12:J12" si="6">SUM(I8:I11)</f>
        <v>415</v>
      </c>
      <c r="J12" s="79">
        <f t="shared" si="6"/>
        <v>325.5</v>
      </c>
      <c r="K12" s="84">
        <f t="shared" si="2"/>
        <v>0.78433734939759037</v>
      </c>
      <c r="L12" s="76">
        <f t="shared" ref="L12:M12" si="7">SUM(L8:L11)</f>
        <v>290</v>
      </c>
      <c r="M12" s="124">
        <f t="shared" si="7"/>
        <v>224</v>
      </c>
      <c r="N12" s="85">
        <f t="shared" si="3"/>
        <v>0.77241379310344827</v>
      </c>
      <c r="R12" s="59"/>
      <c r="S12" s="59"/>
    </row>
    <row r="13" spans="1:19" ht="32.25" customHeight="1">
      <c r="A13" s="193" t="s">
        <v>735</v>
      </c>
      <c r="B13" s="194"/>
      <c r="C13" s="81"/>
      <c r="D13" s="82">
        <f>(D12/C12)</f>
        <v>0.70617283950617282</v>
      </c>
      <c r="E13" s="82">
        <f>(D12/C12)</f>
        <v>0.70617283950617282</v>
      </c>
      <c r="F13" s="81"/>
      <c r="G13" s="83">
        <f>(G12/F12)</f>
        <v>0.84487179487179487</v>
      </c>
      <c r="H13" s="83">
        <f>(G12/F12)</f>
        <v>0.84487179487179487</v>
      </c>
      <c r="I13" s="81"/>
      <c r="J13" s="84">
        <f>(J12/I12)</f>
        <v>0.78433734939759037</v>
      </c>
      <c r="K13" s="84">
        <f>(J12/I12)</f>
        <v>0.78433734939759037</v>
      </c>
      <c r="L13" s="81"/>
      <c r="M13" s="125">
        <f>(M12/L12)</f>
        <v>0.77241379310344827</v>
      </c>
      <c r="N13" s="85">
        <f>(M12/L12)</f>
        <v>0.77241379310344827</v>
      </c>
      <c r="R13" s="59"/>
      <c r="S13" s="59"/>
    </row>
    <row r="14" spans="1:19" ht="32.25" customHeight="1">
      <c r="A14" s="195" t="s">
        <v>736</v>
      </c>
      <c r="B14" s="196"/>
      <c r="C14" s="197">
        <f>(SUM(D12,G12,J12,M12)/SUM(C12,F12,I12,L12))</f>
        <v>0.77666666666666662</v>
      </c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9"/>
      <c r="R14" s="59"/>
      <c r="S14" s="59"/>
    </row>
    <row r="15" spans="1:19" ht="32.25" customHeight="1">
      <c r="A15" s="87"/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R15" s="59"/>
      <c r="S15" s="59"/>
    </row>
    <row r="16" spans="1:19" ht="15.75" customHeight="1">
      <c r="A16" s="87"/>
      <c r="B16" s="8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R16" s="59"/>
      <c r="S16" s="59"/>
    </row>
    <row r="17" spans="1:14" ht="15.75" customHeight="1">
      <c r="A17" s="91"/>
      <c r="B17" s="91"/>
      <c r="C17" s="91"/>
      <c r="D17" s="91" t="s">
        <v>738</v>
      </c>
      <c r="H17" s="91"/>
      <c r="I17" s="91"/>
      <c r="J17" s="91"/>
      <c r="K17" s="91"/>
      <c r="L17" s="91"/>
      <c r="M17" s="91"/>
      <c r="N17" s="91"/>
    </row>
    <row r="18" spans="1:14" ht="15.75" customHeight="1">
      <c r="A18" s="126"/>
      <c r="B18" s="94"/>
      <c r="C18" s="95"/>
      <c r="D18" s="95" t="s">
        <v>740</v>
      </c>
      <c r="H18" s="96"/>
      <c r="I18" s="96"/>
      <c r="J18" s="96"/>
      <c r="K18" s="96"/>
      <c r="L18" s="96"/>
      <c r="M18" s="96"/>
      <c r="N18" s="96"/>
    </row>
    <row r="19" spans="1:14" ht="15.75" customHeight="1">
      <c r="A19" s="126"/>
      <c r="B19" s="94"/>
      <c r="C19" s="95"/>
      <c r="D19" s="95"/>
      <c r="H19" s="96"/>
      <c r="I19" s="96"/>
      <c r="J19" s="96"/>
      <c r="K19" s="96"/>
      <c r="L19" s="96"/>
      <c r="M19" s="96"/>
      <c r="N19" s="96"/>
    </row>
    <row r="20" spans="1:14" ht="15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</row>
    <row r="21" spans="1:14" ht="15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</row>
    <row r="22" spans="1:14" ht="15.75" customHeight="1">
      <c r="A22" s="100"/>
      <c r="B22" s="100"/>
      <c r="C22" s="94"/>
      <c r="D22" s="94"/>
      <c r="E22" s="100"/>
      <c r="F22" s="100"/>
      <c r="G22" s="100"/>
      <c r="H22" s="100"/>
      <c r="I22" s="100"/>
      <c r="J22" s="100"/>
      <c r="K22" s="100"/>
      <c r="L22" s="100"/>
      <c r="M22" s="100"/>
      <c r="N22" s="100"/>
    </row>
    <row r="23" spans="1:14" ht="15.75" customHeight="1">
      <c r="A23" s="103"/>
      <c r="B23" s="100"/>
      <c r="C23" s="103"/>
      <c r="D23" s="103" t="s">
        <v>741</v>
      </c>
      <c r="H23" s="100"/>
      <c r="I23" s="100"/>
      <c r="J23" s="100"/>
      <c r="K23" s="100"/>
      <c r="L23" s="100"/>
      <c r="M23" s="100"/>
      <c r="N23" s="100"/>
    </row>
    <row r="24" spans="1:14" ht="15.75" customHeight="1">
      <c r="A24" s="94"/>
      <c r="B24" s="96"/>
      <c r="C24" s="94"/>
      <c r="D24" s="94" t="s">
        <v>743</v>
      </c>
      <c r="H24" s="69"/>
      <c r="I24" s="69"/>
      <c r="J24" s="69"/>
      <c r="K24" s="69"/>
      <c r="L24" s="69"/>
      <c r="M24" s="69"/>
      <c r="N24" s="69"/>
    </row>
    <row r="25" spans="1:14" ht="15.75" customHeight="1">
      <c r="A25" s="103"/>
      <c r="B25" s="103"/>
      <c r="C25" s="103"/>
      <c r="D25" s="103" t="s">
        <v>744</v>
      </c>
      <c r="H25" s="103"/>
      <c r="I25" s="103"/>
      <c r="J25" s="103"/>
      <c r="K25" s="103"/>
      <c r="L25" s="103"/>
      <c r="M25" s="103"/>
      <c r="N25" s="103"/>
    </row>
    <row r="26" spans="1:14" ht="15.75" customHeight="1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</row>
    <row r="27" spans="1:14" ht="15.75" customHeight="1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</row>
    <row r="28" spans="1:14" ht="15.75" customHeight="1">
      <c r="A28" s="183"/>
      <c r="B28" s="155"/>
      <c r="C28" s="110"/>
      <c r="D28" s="183"/>
      <c r="E28" s="155"/>
      <c r="F28" s="155"/>
      <c r="G28" s="155"/>
      <c r="H28" s="155"/>
      <c r="I28" s="155"/>
      <c r="J28" s="155"/>
      <c r="K28" s="155"/>
      <c r="L28" s="155"/>
      <c r="M28" s="155"/>
      <c r="N28" s="110"/>
    </row>
    <row r="29" spans="1:14" ht="15.75" customHeight="1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</row>
    <row r="30" spans="1:14" ht="15.75" customHeight="1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</row>
    <row r="31" spans="1:14" ht="15.75" customHeight="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</row>
    <row r="32" spans="1:14" ht="15.75" customHeight="1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</row>
    <row r="33" spans="1:14" ht="15.75" customHeight="1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</row>
    <row r="34" spans="1:14" ht="15.75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 ht="15.75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</row>
    <row r="37" spans="1:14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</row>
    <row r="38" spans="1:14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</row>
    <row r="39" spans="1:14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</row>
    <row r="40" spans="1:14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</row>
    <row r="41" spans="1:14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</row>
    <row r="42" spans="1:14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</row>
    <row r="43" spans="1:14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</row>
    <row r="44" spans="1:1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</row>
    <row r="45" spans="1:14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</row>
    <row r="46" spans="1:14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</row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28:B28"/>
    <mergeCell ref="D28:M28"/>
    <mergeCell ref="A2:N6"/>
    <mergeCell ref="A12:B12"/>
    <mergeCell ref="A13:B13"/>
    <mergeCell ref="A14:B14"/>
    <mergeCell ref="C14:N14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000"/>
  <sheetViews>
    <sheetView tabSelected="1" zoomScale="65" workbookViewId="0">
      <selection activeCell="N19" sqref="N19"/>
    </sheetView>
  </sheetViews>
  <sheetFormatPr baseColWidth="10" defaultColWidth="12.5" defaultRowHeight="15" customHeight="1"/>
  <cols>
    <col min="1" max="1" width="4.33203125" customWidth="1"/>
    <col min="2" max="2" width="38.5" customWidth="1"/>
    <col min="3" max="4" width="11.5" customWidth="1"/>
    <col min="5" max="8" width="11.1640625" customWidth="1"/>
    <col min="9" max="10" width="10.5" customWidth="1"/>
    <col min="11" max="30" width="8.5" customWidth="1"/>
  </cols>
  <sheetData>
    <row r="2" spans="1:15" ht="18.75" customHeight="1">
      <c r="A2" s="200" t="s">
        <v>716</v>
      </c>
      <c r="B2" s="201"/>
      <c r="C2" s="201"/>
      <c r="D2" s="201"/>
      <c r="E2" s="201"/>
      <c r="F2" s="201"/>
      <c r="G2" s="201"/>
      <c r="H2" s="201"/>
      <c r="I2" s="201"/>
      <c r="J2" s="202"/>
    </row>
    <row r="3" spans="1:15">
      <c r="A3" s="203"/>
      <c r="B3" s="155"/>
      <c r="C3" s="155"/>
      <c r="D3" s="155"/>
      <c r="E3" s="155"/>
      <c r="F3" s="155"/>
      <c r="G3" s="155"/>
      <c r="H3" s="155"/>
      <c r="I3" s="155"/>
      <c r="J3" s="204"/>
    </row>
    <row r="4" spans="1:15">
      <c r="A4" s="203"/>
      <c r="B4" s="155"/>
      <c r="C4" s="155"/>
      <c r="D4" s="155"/>
      <c r="E4" s="155"/>
      <c r="F4" s="155"/>
      <c r="G4" s="155"/>
      <c r="H4" s="155"/>
      <c r="I4" s="155"/>
      <c r="J4" s="204"/>
    </row>
    <row r="5" spans="1:15">
      <c r="A5" s="203"/>
      <c r="B5" s="155"/>
      <c r="C5" s="155"/>
      <c r="D5" s="155"/>
      <c r="E5" s="155"/>
      <c r="F5" s="155"/>
      <c r="G5" s="155"/>
      <c r="H5" s="155"/>
      <c r="I5" s="155"/>
      <c r="J5" s="204"/>
    </row>
    <row r="6" spans="1:15">
      <c r="A6" s="205"/>
      <c r="B6" s="206"/>
      <c r="C6" s="206"/>
      <c r="D6" s="206"/>
      <c r="E6" s="206"/>
      <c r="F6" s="206"/>
      <c r="G6" s="206"/>
      <c r="H6" s="206"/>
      <c r="I6" s="206"/>
      <c r="J6" s="207"/>
    </row>
    <row r="7" spans="1:15" ht="16">
      <c r="A7" s="56"/>
      <c r="B7" s="57"/>
      <c r="C7" s="57"/>
      <c r="D7" s="57"/>
      <c r="E7" s="57"/>
      <c r="F7" s="57"/>
      <c r="G7" s="57"/>
      <c r="H7" s="57"/>
      <c r="I7" s="57"/>
      <c r="J7" s="58"/>
      <c r="N7" s="59"/>
      <c r="O7" s="59"/>
    </row>
    <row r="8" spans="1:15" ht="16">
      <c r="A8" s="60" t="s">
        <v>717</v>
      </c>
      <c r="B8" s="57"/>
      <c r="C8" s="57"/>
      <c r="D8" s="57"/>
      <c r="E8" s="57"/>
      <c r="F8" s="57"/>
      <c r="G8" s="57"/>
      <c r="H8" s="57"/>
      <c r="I8" s="57"/>
      <c r="J8" s="58"/>
      <c r="N8" s="59"/>
      <c r="O8" s="59"/>
    </row>
    <row r="9" spans="1:15" ht="16">
      <c r="A9" s="60"/>
      <c r="B9" s="57"/>
      <c r="C9" s="57"/>
      <c r="D9" s="57"/>
      <c r="E9" s="57"/>
      <c r="F9" s="57"/>
      <c r="G9" s="57"/>
      <c r="H9" s="57"/>
      <c r="I9" s="57"/>
      <c r="J9" s="58"/>
      <c r="N9" s="59"/>
      <c r="O9" s="59"/>
    </row>
    <row r="10" spans="1:15" ht="16">
      <c r="A10" s="61"/>
      <c r="B10" s="62"/>
      <c r="C10" s="62"/>
      <c r="D10" s="62"/>
      <c r="E10" s="62"/>
      <c r="F10" s="62"/>
      <c r="G10" s="62"/>
      <c r="H10" s="62"/>
      <c r="I10" s="62"/>
      <c r="J10" s="63"/>
      <c r="N10" s="59"/>
      <c r="O10" s="59"/>
    </row>
    <row r="11" spans="1:15" ht="60">
      <c r="A11" s="136" t="s">
        <v>718</v>
      </c>
      <c r="B11" s="137" t="s">
        <v>719</v>
      </c>
      <c r="C11" s="64" t="s">
        <v>720</v>
      </c>
      <c r="D11" s="65" t="s">
        <v>721</v>
      </c>
      <c r="E11" s="64" t="s">
        <v>722</v>
      </c>
      <c r="F11" s="66" t="s">
        <v>723</v>
      </c>
      <c r="G11" s="64" t="s">
        <v>724</v>
      </c>
      <c r="H11" s="67" t="s">
        <v>725</v>
      </c>
      <c r="I11" s="64" t="s">
        <v>726</v>
      </c>
      <c r="J11" s="68" t="s">
        <v>727</v>
      </c>
      <c r="N11" s="69"/>
      <c r="O11" s="59"/>
    </row>
    <row r="12" spans="1:15" ht="32.25" customHeight="1">
      <c r="A12" s="138" t="s">
        <v>728</v>
      </c>
      <c r="B12" s="139" t="s">
        <v>729</v>
      </c>
      <c r="C12" s="135">
        <v>80</v>
      </c>
      <c r="D12" s="71">
        <f>'KOMPONEN A'!I26</f>
        <v>58</v>
      </c>
      <c r="E12" s="70">
        <v>80</v>
      </c>
      <c r="F12" s="72">
        <f>'KOMPONEN A'!K26</f>
        <v>58</v>
      </c>
      <c r="G12" s="70">
        <v>80</v>
      </c>
      <c r="H12" s="73">
        <f>'KOMPONEN A'!I26</f>
        <v>58</v>
      </c>
      <c r="I12" s="70">
        <v>80</v>
      </c>
      <c r="J12" s="74">
        <f>'KOMPONEN A'!I26</f>
        <v>58</v>
      </c>
      <c r="N12" s="69"/>
      <c r="O12" s="59"/>
    </row>
    <row r="13" spans="1:15" ht="32.25" customHeight="1">
      <c r="A13" s="138" t="s">
        <v>730</v>
      </c>
      <c r="B13" s="139" t="s">
        <v>731</v>
      </c>
      <c r="C13" s="135">
        <v>205</v>
      </c>
      <c r="D13" s="71">
        <f>'KOMPONEN B'!I75</f>
        <v>139</v>
      </c>
      <c r="E13" s="70">
        <v>205</v>
      </c>
      <c r="F13" s="72">
        <f>'KOMPONEN B'!J75</f>
        <v>184</v>
      </c>
      <c r="G13" s="70">
        <v>190</v>
      </c>
      <c r="H13" s="75">
        <f>'KOMPONEN B'!K75</f>
        <v>141</v>
      </c>
      <c r="I13" s="70">
        <v>160</v>
      </c>
      <c r="J13" s="74">
        <f>'KOMPONEN B'!L75</f>
        <v>124</v>
      </c>
      <c r="N13" s="69"/>
      <c r="O13" s="59"/>
    </row>
    <row r="14" spans="1:15" ht="32.25" customHeight="1">
      <c r="A14" s="138" t="s">
        <v>732</v>
      </c>
      <c r="B14" s="139" t="s">
        <v>448</v>
      </c>
      <c r="C14" s="135">
        <v>90</v>
      </c>
      <c r="D14" s="71">
        <f>'KOMPONEN C'!I44</f>
        <v>65</v>
      </c>
      <c r="E14" s="70">
        <v>85</v>
      </c>
      <c r="F14" s="72">
        <f>'KOMPONEN C'!J44</f>
        <v>71</v>
      </c>
      <c r="G14" s="70">
        <v>115</v>
      </c>
      <c r="H14" s="75">
        <f>'KOMPONEN C'!K44</f>
        <v>106.5</v>
      </c>
      <c r="I14" s="70">
        <v>40</v>
      </c>
      <c r="J14" s="74">
        <f>'KOMPONEN C'!L44</f>
        <v>32</v>
      </c>
      <c r="N14" s="69"/>
      <c r="O14" s="59"/>
    </row>
    <row r="15" spans="1:15" ht="32.25" customHeight="1">
      <c r="A15" s="138" t="s">
        <v>733</v>
      </c>
      <c r="B15" s="139" t="s">
        <v>642</v>
      </c>
      <c r="C15" s="135">
        <v>30</v>
      </c>
      <c r="D15" s="71">
        <f>'KOMPONEN D'!I23</f>
        <v>24</v>
      </c>
      <c r="E15" s="70">
        <v>20</v>
      </c>
      <c r="F15" s="72">
        <f>'KOMPONEN D'!J23</f>
        <v>16.5</v>
      </c>
      <c r="G15" s="70">
        <v>30</v>
      </c>
      <c r="H15" s="75">
        <f>'KOMPONEN D'!K23</f>
        <v>20</v>
      </c>
      <c r="I15" s="70">
        <v>10</v>
      </c>
      <c r="J15" s="74">
        <f>'KOMPONEN D'!L23</f>
        <v>10</v>
      </c>
      <c r="N15" s="59"/>
      <c r="O15" s="59"/>
    </row>
    <row r="16" spans="1:15" ht="32.25" customHeight="1">
      <c r="A16" s="138" t="s">
        <v>793</v>
      </c>
      <c r="B16" s="139" t="s">
        <v>751</v>
      </c>
      <c r="C16" s="135">
        <v>45</v>
      </c>
      <c r="D16" s="71"/>
      <c r="E16" s="70">
        <v>45</v>
      </c>
      <c r="F16" s="72"/>
      <c r="G16" s="70">
        <v>45</v>
      </c>
      <c r="H16" s="75"/>
      <c r="I16" s="70">
        <v>45</v>
      </c>
      <c r="J16" s="74"/>
      <c r="N16" s="59"/>
      <c r="O16" s="59"/>
    </row>
    <row r="17" spans="1:15" ht="32.25" customHeight="1">
      <c r="A17" s="208" t="s">
        <v>734</v>
      </c>
      <c r="B17" s="209"/>
      <c r="C17" s="140">
        <f>SUM(C12:C16)</f>
        <v>450</v>
      </c>
      <c r="D17" s="77">
        <f t="shared" ref="D17:J17" si="0">SUM(D12:D15)</f>
        <v>286</v>
      </c>
      <c r="E17" s="76">
        <f>SUM(E12:E16)</f>
        <v>435</v>
      </c>
      <c r="F17" s="78">
        <f t="shared" si="0"/>
        <v>329.5</v>
      </c>
      <c r="G17" s="76">
        <f>SUM(G12:G16)</f>
        <v>460</v>
      </c>
      <c r="H17" s="79">
        <f t="shared" si="0"/>
        <v>325.5</v>
      </c>
      <c r="I17" s="76">
        <f>SUM(I12:I16)</f>
        <v>335</v>
      </c>
      <c r="J17" s="80">
        <f t="shared" si="0"/>
        <v>224</v>
      </c>
      <c r="N17" s="59"/>
      <c r="O17" s="59"/>
    </row>
    <row r="18" spans="1:15" ht="32.25" customHeight="1">
      <c r="A18" s="210" t="s">
        <v>735</v>
      </c>
      <c r="B18" s="211"/>
      <c r="C18" s="81"/>
      <c r="D18" s="82">
        <f>(D17/C17)</f>
        <v>0.63555555555555554</v>
      </c>
      <c r="E18" s="81"/>
      <c r="F18" s="83">
        <f>(F17/E17)</f>
        <v>0.75747126436781609</v>
      </c>
      <c r="G18" s="81"/>
      <c r="H18" s="84">
        <f>(H17/G17)</f>
        <v>0.70760869565217388</v>
      </c>
      <c r="I18" s="81"/>
      <c r="J18" s="85">
        <f>(J17/I17)</f>
        <v>0.66865671641791047</v>
      </c>
      <c r="N18" s="59"/>
      <c r="O18" s="59"/>
    </row>
    <row r="19" spans="1:15" ht="32.25" customHeight="1">
      <c r="A19" s="193" t="s">
        <v>736</v>
      </c>
      <c r="B19" s="194"/>
      <c r="C19" s="212">
        <f>(SUM(D17,F17,H17,J17)/SUM(C17,E17,G17,I17))</f>
        <v>0.69345238095238093</v>
      </c>
      <c r="D19" s="213"/>
      <c r="E19" s="213"/>
      <c r="F19" s="213"/>
      <c r="G19" s="213"/>
      <c r="H19" s="213"/>
      <c r="I19" s="213"/>
      <c r="J19" s="214"/>
      <c r="N19" s="59"/>
      <c r="O19" s="59"/>
    </row>
    <row r="20" spans="1:15" ht="32.25" customHeight="1">
      <c r="A20" s="86"/>
      <c r="B20" s="87"/>
      <c r="C20" s="88"/>
      <c r="D20" s="88"/>
      <c r="E20" s="88"/>
      <c r="F20" s="88"/>
      <c r="G20" s="88"/>
      <c r="H20" s="88"/>
      <c r="I20" s="88"/>
      <c r="J20" s="89"/>
      <c r="N20" s="59"/>
      <c r="O20" s="59"/>
    </row>
    <row r="21" spans="1:15" ht="15.75" customHeight="1">
      <c r="A21" s="86"/>
      <c r="B21" s="87"/>
      <c r="C21" s="88"/>
      <c r="D21" s="88"/>
      <c r="E21" s="88"/>
      <c r="F21" s="88"/>
      <c r="G21" s="88"/>
      <c r="H21" s="88"/>
      <c r="I21" s="88"/>
      <c r="J21" s="89"/>
      <c r="N21" s="59"/>
      <c r="O21" s="59"/>
    </row>
    <row r="22" spans="1:15" ht="15.75" customHeight="1">
      <c r="A22" s="90" t="s">
        <v>737</v>
      </c>
      <c r="B22" s="91"/>
      <c r="C22" s="91"/>
      <c r="D22" s="91" t="s">
        <v>738</v>
      </c>
      <c r="G22" s="91"/>
      <c r="H22" s="91"/>
      <c r="I22" s="91"/>
      <c r="J22" s="92"/>
    </row>
    <row r="23" spans="1:15" ht="15.75" customHeight="1">
      <c r="A23" s="93" t="s">
        <v>739</v>
      </c>
      <c r="B23" s="94"/>
      <c r="C23" s="95"/>
      <c r="D23" s="95" t="s">
        <v>740</v>
      </c>
      <c r="G23" s="96"/>
      <c r="H23" s="96"/>
      <c r="I23" s="96"/>
      <c r="J23" s="97"/>
    </row>
    <row r="24" spans="1:15" ht="15.75" customHeight="1">
      <c r="A24" s="93"/>
      <c r="B24" s="94"/>
      <c r="C24" s="95"/>
      <c r="D24" s="95"/>
      <c r="G24" s="96"/>
      <c r="H24" s="96"/>
      <c r="I24" s="96"/>
      <c r="J24" s="97"/>
    </row>
    <row r="25" spans="1:15" ht="15.75" customHeight="1">
      <c r="A25" s="98"/>
      <c r="B25" s="96"/>
      <c r="C25" s="96"/>
      <c r="D25" s="96"/>
      <c r="E25" s="96"/>
      <c r="F25" s="96"/>
      <c r="G25" s="96"/>
      <c r="H25" s="96"/>
      <c r="I25" s="96"/>
      <c r="J25" s="97"/>
    </row>
    <row r="26" spans="1:15" ht="15.75" customHeight="1">
      <c r="A26" s="98"/>
      <c r="B26" s="96"/>
      <c r="C26" s="96"/>
      <c r="D26" s="96"/>
      <c r="E26" s="96"/>
      <c r="F26" s="96"/>
      <c r="G26" s="96"/>
      <c r="H26" s="96"/>
      <c r="I26" s="96"/>
      <c r="J26" s="97"/>
    </row>
    <row r="27" spans="1:15" ht="15.75" customHeight="1">
      <c r="A27" s="99"/>
      <c r="B27" s="100"/>
      <c r="C27" s="94"/>
      <c r="D27" s="94"/>
      <c r="E27" s="100"/>
      <c r="F27" s="100"/>
      <c r="G27" s="100"/>
      <c r="H27" s="100"/>
      <c r="I27" s="100"/>
      <c r="J27" s="101"/>
    </row>
    <row r="28" spans="1:15" ht="15.75" customHeight="1">
      <c r="A28" s="102" t="s">
        <v>741</v>
      </c>
      <c r="B28" s="100"/>
      <c r="C28" s="103"/>
      <c r="D28" s="103" t="s">
        <v>741</v>
      </c>
      <c r="G28" s="100"/>
      <c r="H28" s="100"/>
      <c r="I28" s="100"/>
      <c r="J28" s="101"/>
    </row>
    <row r="29" spans="1:15" ht="15.75" customHeight="1">
      <c r="A29" s="104" t="s">
        <v>742</v>
      </c>
      <c r="B29" s="96"/>
      <c r="C29" s="94"/>
      <c r="D29" s="94" t="s">
        <v>743</v>
      </c>
      <c r="G29" s="69"/>
      <c r="H29" s="69"/>
      <c r="I29" s="69"/>
      <c r="J29" s="105"/>
    </row>
    <row r="30" spans="1:15" ht="15.75" customHeight="1">
      <c r="A30" s="102" t="s">
        <v>744</v>
      </c>
      <c r="B30" s="103"/>
      <c r="C30" s="103"/>
      <c r="D30" s="103" t="s">
        <v>744</v>
      </c>
      <c r="G30" s="103"/>
      <c r="H30" s="103"/>
      <c r="I30" s="103"/>
      <c r="J30" s="106"/>
    </row>
    <row r="31" spans="1:15" ht="15.75" customHeight="1">
      <c r="A31" s="102"/>
      <c r="B31" s="103"/>
      <c r="C31" s="103"/>
      <c r="D31" s="103"/>
      <c r="E31" s="103"/>
      <c r="F31" s="103"/>
      <c r="G31" s="103"/>
      <c r="H31" s="103"/>
      <c r="I31" s="103"/>
      <c r="J31" s="106"/>
    </row>
    <row r="32" spans="1:15" ht="15.75" customHeight="1">
      <c r="A32" s="107"/>
      <c r="B32" s="108"/>
      <c r="C32" s="108"/>
      <c r="D32" s="108"/>
      <c r="E32" s="108"/>
      <c r="F32" s="108"/>
      <c r="G32" s="108"/>
      <c r="H32" s="108"/>
      <c r="I32" s="108"/>
      <c r="J32" s="109"/>
    </row>
    <row r="33" spans="1:10" ht="15.75" customHeight="1">
      <c r="A33" s="183"/>
      <c r="B33" s="155"/>
      <c r="C33" s="110"/>
      <c r="D33" s="183"/>
      <c r="E33" s="155"/>
      <c r="F33" s="155"/>
      <c r="G33" s="155"/>
      <c r="H33" s="155"/>
      <c r="I33" s="155"/>
      <c r="J33" s="155"/>
    </row>
    <row r="34" spans="1:10" ht="15.75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</row>
    <row r="35" spans="1:10" ht="15.75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</row>
    <row r="36" spans="1:10" ht="15.75" customHeight="1">
      <c r="A36" s="103"/>
      <c r="B36" s="103"/>
      <c r="C36" s="103"/>
      <c r="D36" s="103"/>
      <c r="E36" s="103"/>
      <c r="F36" s="103"/>
      <c r="G36" s="103"/>
      <c r="H36" s="103"/>
      <c r="I36" s="103"/>
      <c r="J36" s="103"/>
    </row>
    <row r="37" spans="1:10" ht="15.75" customHeight="1">
      <c r="A37" s="103"/>
      <c r="B37" s="103"/>
      <c r="C37" s="103"/>
      <c r="D37" s="103"/>
      <c r="E37" s="103"/>
      <c r="F37" s="103"/>
      <c r="G37" s="103"/>
      <c r="H37" s="103"/>
      <c r="I37" s="103"/>
      <c r="J37" s="103"/>
    </row>
    <row r="38" spans="1:10" ht="15.75" customHeight="1">
      <c r="A38" s="103"/>
      <c r="B38" s="103"/>
      <c r="C38" s="103"/>
      <c r="D38" s="103"/>
      <c r="E38" s="103"/>
      <c r="F38" s="103"/>
      <c r="G38" s="103"/>
      <c r="H38" s="103"/>
      <c r="I38" s="103"/>
      <c r="J38" s="103"/>
    </row>
    <row r="39" spans="1:10" ht="15.75" customHeight="1">
      <c r="A39" s="103"/>
      <c r="B39" s="103"/>
      <c r="C39" s="103"/>
      <c r="D39" s="103"/>
      <c r="E39" s="103"/>
      <c r="F39" s="103"/>
      <c r="G39" s="103"/>
      <c r="H39" s="103"/>
      <c r="I39" s="103"/>
      <c r="J39" s="103"/>
    </row>
    <row r="40" spans="1:10" ht="15.75" customHeight="1">
      <c r="A40" s="103"/>
      <c r="B40" s="103"/>
      <c r="C40" s="103"/>
      <c r="D40" s="103"/>
      <c r="E40" s="103"/>
      <c r="F40" s="103"/>
      <c r="G40" s="103"/>
      <c r="H40" s="103"/>
      <c r="I40" s="103"/>
      <c r="J40" s="103"/>
    </row>
    <row r="41" spans="1:10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</row>
    <row r="42" spans="1:10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</row>
    <row r="43" spans="1:10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</row>
    <row r="44" spans="1:10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</row>
    <row r="45" spans="1:10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 spans="1:10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</row>
    <row r="47" spans="1:10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</row>
    <row r="48" spans="1:10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</row>
    <row r="49" spans="1:10" ht="15.7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</row>
    <row r="50" spans="1:10" ht="15.7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</row>
    <row r="51" spans="1:10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</row>
    <row r="52" spans="1:10" ht="15.75" customHeight="1"/>
    <row r="53" spans="1:10" ht="15.75" customHeight="1"/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33:B33"/>
    <mergeCell ref="D33:J33"/>
    <mergeCell ref="A2:J6"/>
    <mergeCell ref="A17:B17"/>
    <mergeCell ref="A18:B18"/>
    <mergeCell ref="A19:B19"/>
    <mergeCell ref="C19:J19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KOMPONEN A</vt:lpstr>
      <vt:lpstr>KOMPONEN B</vt:lpstr>
      <vt:lpstr>KOMPONEN C</vt:lpstr>
      <vt:lpstr>KOMPONEN D</vt:lpstr>
      <vt:lpstr>KOMPONEN E</vt:lpstr>
      <vt:lpstr>MARKAH AUDIT</vt:lpstr>
      <vt:lpstr>LAPORAN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Norzamzaliza Binti Che Husin</dc:creator>
  <cp:lastModifiedBy>Norzamzaliza Binti Che Husin</cp:lastModifiedBy>
  <dcterms:created xsi:type="dcterms:W3CDTF">2025-10-06T04:26:48Z</dcterms:created>
  <dcterms:modified xsi:type="dcterms:W3CDTF">2026-08-18T08:57:20Z</dcterms:modified>
</cp:coreProperties>
</file>